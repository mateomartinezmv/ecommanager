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arametros" sheetId="2" state="visible" r:id="rId4"/>
    <sheet name="Costos PI10196" sheetId="3" state="visible" r:id="rId5"/>
    <sheet name="Publicaciones" sheetId="4" state="visible" r:id="rId6"/>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26" authorId="0">
      <text>
        <r>
          <rPr>
            <sz val="10"/>
            <rFont val="Arial"/>
            <family val="2"/>
          </rPr>
          <t xml:space="preserve">Acortado para entrar en los 60 caracteres de ML.
Nombre original en la PI10196:
Manillar Moto Universal 7/8 22mm Alto Plateado Antideslizante (61 caracteres).</t>
        </r>
      </text>
    </comment>
    <comment ref="C27" authorId="0">
      <text>
        <r>
          <rPr>
            <sz val="10"/>
            <rFont val="Arial"/>
            <family val="2"/>
          </rPr>
          <t xml:space="preserve">Acortado para entrar en los 60 caracteres de ML.
Nombre original en la PI10196:
Manillar Café Racer Universal 7/8 22mm Recto Plateado Cromado (61 caracteres).</t>
        </r>
      </text>
    </comment>
    <comment ref="F4" authorId="0">
      <text>
        <r>
          <rPr>
            <sz val="10"/>
            <rFont val="Arial"/>
            <family val="2"/>
          </rPr>
          <t xml:space="preserve">Placeholder calculado: costo real × markup de referencia (hoja Costos PI10196).
No es un precio decidido. Por eso las filas van pausadas.</t>
        </r>
      </text>
    </comment>
    <comment ref="L4" authorId="0">
      <text>
        <r>
          <rPr>
            <sz val="10"/>
            <rFont val="Arial"/>
            <family val="2"/>
          </rPr>
          <t xml:space="preserve">Obligatorio. Mercado Libre rechaza la publicación sin al menos una imagen.
Formato: URLs públicas https, separadas por coma. Mínimo 500x500 px, fondo blanco para la foto principal.</t>
        </r>
      </text>
    </comment>
  </commentList>
</comments>
</file>

<file path=xl/sharedStrings.xml><?xml version="1.0" encoding="utf-8"?>
<sst xmlns="http://schemas.openxmlformats.org/spreadsheetml/2006/main" count="443" uniqueCount="167">
  <si>
    <t xml:space="preserve">Carga masiva a Mercado Libre — productos nuevos de la PI10196</t>
  </si>
  <si>
    <t xml:space="preserve">Importación IMP1780969938902 · orden 21/05/2026 · recibida 12/09/2026 · 33 ítems, 22 de ellos sin publicación previa.</t>
  </si>
  <si>
    <t xml:space="preserve">Qué contiene este archivo</t>
  </si>
  <si>
    <t xml:space="preserve">• Publicaciones — una fila por SKU nuevo, con todos los campos que pide el cargador masivo de Mercado Libre. Es la hoja que copiás a la plantilla de ML.</t>
  </si>
  <si>
    <t xml:space="preserve">• Costos PI10196 — el costo real de cada SKU con el prorrateo de la importación aplicado, y el precio sugerido que alimenta la columna Precio de la hoja Publicaciones.</t>
  </si>
  <si>
    <t xml:space="preserve">• Parametros — los tres supuestos que mueven todos los números. Editalos ahí y el resto se recalcula solo.</t>
  </si>
  <si>
    <t xml:space="preserve">Antes de subir: dos cosas bloquean la carga</t>
  </si>
  <si>
    <t xml:space="preserve">1. FOTOS. Mercado Libre rechaza cualquier publicación sin al menos una imagen. La columna Fotos está vacía y marcada en amarillo. Hay que completarla antes de subir.</t>
  </si>
  <si>
    <t xml:space="preserve">2. PRECIO. Los 22 SKUs no tenían precio de venta definido. La columna Precio trae un valor calculado a partir del costo real × un markup de referencia tomado de productos similares de tu propio catálogo. Es un placeholder para que la fila sea válida, no un precio decidido. Por eso todas las filas van con Estado inicial = pausado.</t>
  </si>
  <si>
    <t xml:space="preserve">Cómo se usa</t>
  </si>
  <si>
    <t xml:space="preserve">1. Completá la columna Fotos (una o más URLs separadas por coma) y revisá Precio.</t>
  </si>
  <si>
    <t xml:space="preserve">2. En Mercado Libre: Mis publicaciones → Publicar → Carga masiva. El cargador pide elegir la categoría primero y recién ahí te da la plantilla .xlsx de esa categoría.</t>
  </si>
  <si>
    <t xml:space="preserve">3. Los 22 SKUs caen en 4 categorías distintas, así que son 4 plantillas. La columna Categoría destino de la hoja Publicaciones ya te dice cuál va con cuál.</t>
  </si>
  <si>
    <t xml:space="preserve">4. Copiá las filas del grupo correspondiente a cada plantilla de ML, campo por campo. Los nombres de columna de ML varían por categoría; los de acá están puestos con el nombre que usa ML en la mayoría de las plantillas de accesorios para motos.</t>
  </si>
  <si>
    <t xml:space="preserve">5. Subí cada plantilla. Quedan pausadas: revisás precio y foto en ML y recién ahí las activás.</t>
  </si>
  <si>
    <t xml:space="preserve">6. Cuando estén publicadas, pasame los MLU de cada SKU y los cargo en la tabla productos para que el sync de stock los tome.</t>
  </si>
  <si>
    <t xml:space="preserve">Dos cosas a tener en cuenta</t>
  </si>
  <si>
    <t xml:space="preserve">• El stock de estos 22 SKUs nunca entró al sistema. Cuando la PI10196 se marcó como recibida, applyImportArrival() sumó stock sólo a los 11 SKUs que ya existían en la tabla productos; los otros 22 se reportaron como noEncontrados y se saltearon. Son 385 unidades sin registrar. Hay que dar de alta los productos para que el stock exista.</t>
  </si>
  <si>
    <t xml:space="preserve">• Los títulos salen del nombre cargado en la importación. Dos se pasaban de los 60 caracteres que permite ML (MAN-78-V2-PLA-001 y MAN-78-V3-PLA-001) y los acorté; el nombre original quedó como comentario en la celda. La columna Largo título se pinta de rojo sola si al editar alguno te pasás de 60.</t>
  </si>
  <si>
    <t xml:space="preserve">Leyenda de colores</t>
  </si>
  <si>
    <t xml:space="preserve">Amarillo = lo tenés que completar o revisar vos.</t>
  </si>
  <si>
    <t xml:space="preserve">Azul = dato cargado a mano (viene de la importación o de tu catálogo).</t>
  </si>
  <si>
    <t xml:space="preserve">Verde = traído de otra hoja de este mismo archivo.</t>
  </si>
  <si>
    <t xml:space="preserve">Negro = calculado por fórmula.</t>
  </si>
  <si>
    <t xml:space="preserve">Parámetros de la PI10196</t>
  </si>
  <si>
    <t xml:space="preserve">Concepto</t>
  </si>
  <si>
    <t xml:space="preserve">Valor</t>
  </si>
  <si>
    <t xml:space="preserve">De dónde sale</t>
  </si>
  <si>
    <t xml:space="preserve">Total pagado por la importación (USD)</t>
  </si>
  <si>
    <t xml:space="preserve">Campo total del registro IMP1780969938902 en Supabase. Incluye mercadería, traslado interno (USD 12,80), nacionalización (USD 810) e IVA.</t>
  </si>
  <si>
    <t xml:space="preserve">Costo declarado de los 33 ítems (USD)</t>
  </si>
  <si>
    <t xml:space="preserve">Suma de qty × costo de los 33 ítems de la importación. Son los 33, no sólo los 22 nuevos: el prorrateo reparte los gastos sobre toda la carga.</t>
  </si>
  <si>
    <t xml:space="preserve">Factor de prorrateo</t>
  </si>
  <si>
    <t xml:space="preserve">Cuánto multiplica el costo declarado para llegar al costo real puesto en depósito. Misma fórmula que usa la pantalla de Importaciones.</t>
  </si>
  <si>
    <t xml:space="preserve">Tipo de cambio UYU/USD</t>
  </si>
  <si>
    <t xml:space="preserve">SUPUESTO. Es el TC implícito en los SKUs de esta misma PI que ya están cargados: ALERONFINOSNK, HSJ-20121, HS-30006 y los DOM tienen costo = declarado × 90, y 90 / 2,1410 = 42. Cambialo acá si usaste otro.</t>
  </si>
  <si>
    <t xml:space="preserve">Precio mínimo de publicación (UYU)</t>
  </si>
  <si>
    <t xml:space="preserve">SUPUESTO MÍO, revisalo. Piso para que los extensores no queden a $216. Ningún precio sugerido baja de este valor.</t>
  </si>
  <si>
    <t xml:space="preserve">Los dos valores en amarillo son supuestos míos, no datos de la importación. Todo lo demás sale del registro de la PI10196.</t>
  </si>
  <si>
    <t xml:space="preserve">Costo real por SKU — productos nuevos de la PI10196</t>
  </si>
  <si>
    <t xml:space="preserve">Costo real = costo declarado × factor de prorrateo × tipo de cambio. El markup es editable: cambialo y el precio sugerido se recalcula.</t>
  </si>
  <si>
    <t xml:space="preserve">SKU</t>
  </si>
  <si>
    <t xml:space="preserve">Producto</t>
  </si>
  <si>
    <t xml:space="preserve">Categoría destino</t>
  </si>
  <si>
    <t xml:space="preserve">Cantidad recibida</t>
  </si>
  <si>
    <t xml:space="preserve">Costo declarado USD</t>
  </si>
  <si>
    <t xml:space="preserve">Costo declarado total USD</t>
  </si>
  <si>
    <t xml:space="preserve">Costo real USD</t>
  </si>
  <si>
    <t xml:space="preserve">Costo real UYU</t>
  </si>
  <si>
    <t xml:space="preserve">Markup</t>
  </si>
  <si>
    <t xml:space="preserve">Precio calculado</t>
  </si>
  <si>
    <t xml:space="preserve">Precio sugerido</t>
  </si>
  <si>
    <t xml:space="preserve">Comparable en tu catálogo</t>
  </si>
  <si>
    <t xml:space="preserve">SOP-CEL-MAN-001</t>
  </si>
  <si>
    <t xml:space="preserve">Soporte Celular Moto Universal Manillar Negro Ajustable</t>
  </si>
  <si>
    <t xml:space="preserve">Soportes de Celular</t>
  </si>
  <si>
    <t xml:space="preserve">sin comparable</t>
  </si>
  <si>
    <t xml:space="preserve">SOP-CEL-ESP-001</t>
  </si>
  <si>
    <t xml:space="preserve">Soporte Celular Moto Universal Espejo Negro Ajustable</t>
  </si>
  <si>
    <t xml:space="preserve">ESP-CIR-001</t>
  </si>
  <si>
    <t xml:space="preserve">Espejos de Puño Circulares Moto Universal Manillar 7/8 Negro</t>
  </si>
  <si>
    <t xml:space="preserve">Espejos</t>
  </si>
  <si>
    <t xml:space="preserve">HP-SH-5003-L — $ 1.290</t>
  </si>
  <si>
    <t xml:space="preserve">MAN-78-V2-NEG-001</t>
  </si>
  <si>
    <t xml:space="preserve">Manillar Moto Universal 7/8 22mm Alto Negro Antideslizante</t>
  </si>
  <si>
    <t xml:space="preserve">Manubrios y Manillares</t>
  </si>
  <si>
    <t xml:space="preserve">HP-CB0381 — $ 1.190</t>
  </si>
  <si>
    <t xml:space="preserve">MAN-78-V2-PLA-001</t>
  </si>
  <si>
    <t xml:space="preserve">Manillar Moto Universal 7/8 22mm Alto Plateado Antideslizante</t>
  </si>
  <si>
    <t xml:space="preserve">MAN-78-V3-PLA-001</t>
  </si>
  <si>
    <t xml:space="preserve">Manillar Café Racer Universal 7/8 22mm Recto Plateado Cromado</t>
  </si>
  <si>
    <t xml:space="preserve">EXT-ESP-8F-8F-001</t>
  </si>
  <si>
    <t xml:space="preserve">Extensor Espejo Moto Rosca 8mm Int/Ext Horario Universal</t>
  </si>
  <si>
    <t xml:space="preserve">Extensores de Espejo</t>
  </si>
  <si>
    <t xml:space="preserve">EXT-ESP-8F-8R-001</t>
  </si>
  <si>
    <t xml:space="preserve">Extensor Espejo Moto Rosca 8mm Int Hor / Ext Antihor</t>
  </si>
  <si>
    <t xml:space="preserve">EXT-ESP-8R-8F-001</t>
  </si>
  <si>
    <t xml:space="preserve">Extensor Espejo Moto Rosca 8mm Int Antihor / Ext Hor</t>
  </si>
  <si>
    <t xml:space="preserve">EXT-ESP-8R-8R-001</t>
  </si>
  <si>
    <t xml:space="preserve">Extensor Espejo Moto Rosca 8mm Int/Ext Antihorario Univ</t>
  </si>
  <si>
    <t xml:space="preserve">EXT-ESP-8F-10F-001</t>
  </si>
  <si>
    <t xml:space="preserve">Extensor Espejo Moto Rosca 8mm Int Hor / 10mm Ext Hor</t>
  </si>
  <si>
    <t xml:space="preserve">EXT-ESP-8R-10F-001</t>
  </si>
  <si>
    <t xml:space="preserve">Extensor Espejo Moto Rosca 8mm Int Antihor / 10mm Ext</t>
  </si>
  <si>
    <t xml:space="preserve">EXT-ESP-8F-10R-001</t>
  </si>
  <si>
    <t xml:space="preserve">Extensor Espejo Moto Rosca 8mm Int Hor / 10mm Ext Antihor</t>
  </si>
  <si>
    <t xml:space="preserve">EXT-ESP-8R-10R-001</t>
  </si>
  <si>
    <t xml:space="preserve">Extensor Espejo Moto Rosca 8mm Int/10mm Ext Antihorario</t>
  </si>
  <si>
    <t xml:space="preserve">EXT-ESP-10F-10F-001</t>
  </si>
  <si>
    <t xml:space="preserve">Extensor Espejo Moto Rosca 10mm Int/Ext Horario Universal</t>
  </si>
  <si>
    <t xml:space="preserve">EXT-ESP-10R-10F-001</t>
  </si>
  <si>
    <t xml:space="preserve">Extensor Espejo Moto Rosca 10mm Int Antihor / Ext Hor</t>
  </si>
  <si>
    <t xml:space="preserve">EXT-ESP-10F-10R-001</t>
  </si>
  <si>
    <t xml:space="preserve">Extensor Espejo Moto Rosca 10mm Int Hor / Ext Antihor</t>
  </si>
  <si>
    <t xml:space="preserve">EXT-ESP-10R-10R-001</t>
  </si>
  <si>
    <t xml:space="preserve">Extensor Espejo Moto Rosca 10mm Int/Ext Antihorario Univ</t>
  </si>
  <si>
    <t xml:space="preserve">EXT-ESP-10F-8F-001</t>
  </si>
  <si>
    <t xml:space="preserve">Extensor Espejo Moto Rosca 10mm Int Hor / 8mm Ext Hor</t>
  </si>
  <si>
    <t xml:space="preserve">EXT-ESP-10F-8R-001</t>
  </si>
  <si>
    <t xml:space="preserve">Extensor Espejo Moto Rosca 10mm Int Hor / 8mm Ext Antihor</t>
  </si>
  <si>
    <t xml:space="preserve">EXT-ESP-10R-8F-001</t>
  </si>
  <si>
    <t xml:space="preserve">Extensor Espejo Moto Rosca 10mm Int Antihor / 8mm Ext</t>
  </si>
  <si>
    <t xml:space="preserve">EXT-ESP-10R-8R-001</t>
  </si>
  <si>
    <t xml:space="preserve">Extensor Espejo Moto Rosca 10mm Int/8mm Ext Antihorario</t>
  </si>
  <si>
    <t xml:space="preserve">TOTAL 22 SKUs nuevos</t>
  </si>
  <si>
    <t xml:space="preserve">Markups de referencia tomados de tu catálogo: espejos de puño 3,10x (HP-SH-5003-L), manillares 2,46x (HP-CB0381..85), accesorios de bajo costo 8x–20x (PATENTE1 8,24x, HP-MG072 7,98x, FSB-002 7,17x). Los soportes de celular y los extensores no tienen comparable directo: ahí el markup es estimado.</t>
  </si>
  <si>
    <t xml:space="preserve">Los 11 SKUs restantes de la PI10196 (ALERONFINOSNK, CPJ-62001, DOM00..03, HP-CB0381, HS-30006, HSJ-20121, PUNBLACK, PUNRED) ya están publicados y no entran en esta planilla.</t>
  </si>
  <si>
    <t xml:space="preserve">Publicaciones a crear — 22 SKUs nuevos de la PI10196</t>
  </si>
  <si>
    <t xml:space="preserve">Completá Fotos (obligatorio para ML) y revisá Precio. Después copiá cada grupo a la plantilla de carga masiva de su categoría.</t>
  </si>
  <si>
    <t xml:space="preserve">Columnas en amarillo = las completás vos. La fila 5 es un EJEMPLO del formato esperado, borrala antes de subir. Precio viene de la hoja Costos PI10196.</t>
  </si>
  <si>
    <t xml:space="preserve">Categoría sugerida en ML</t>
  </si>
  <si>
    <t xml:space="preserve">Título</t>
  </si>
  <si>
    <t xml:space="preserve">Largo título</t>
  </si>
  <si>
    <t xml:space="preserve">Precio</t>
  </si>
  <si>
    <t xml:space="preserve">Moneda</t>
  </si>
  <si>
    <t xml:space="preserve">Stock disponible</t>
  </si>
  <si>
    <t xml:space="preserve">Condición</t>
  </si>
  <si>
    <t xml:space="preserve">Tipo de publicación</t>
  </si>
  <si>
    <t xml:space="preserve">Estado inicial</t>
  </si>
  <si>
    <t xml:space="preserve">Fotos (URLs separadas por coma)</t>
  </si>
  <si>
    <t xml:space="preserve">Marca</t>
  </si>
  <si>
    <t xml:space="preserve">Modelo</t>
  </si>
  <si>
    <t xml:space="preserve">Garantía</t>
  </si>
  <si>
    <t xml:space="preserve">Descripción</t>
  </si>
  <si>
    <t xml:space="preserve">EJEMPLO — borrar</t>
  </si>
  <si>
    <t xml:space="preserve">Accesorios para Vehículos &gt; ... &gt; Espejos</t>
  </si>
  <si>
    <t xml:space="preserve">Espejo Redondo Moto Universal Rosca 10mm Negro</t>
  </si>
  <si>
    <t xml:space="preserve">EJEMPLO-001</t>
  </si>
  <si>
    <t xml:space="preserve">UYU</t>
  </si>
  <si>
    <t xml:space="preserve">Nuevo</t>
  </si>
  <si>
    <t xml:space="preserve">Clásica</t>
  </si>
  <si>
    <t xml:space="preserve">pausado</t>
  </si>
  <si>
    <t xml:space="preserve">https://midominio.com/fotos/ej-1.jpg, https://midominio.com/fotos/ej-2.jpg</t>
  </si>
  <si>
    <t xml:space="preserve">Genérica</t>
  </si>
  <si>
    <t xml:space="preserve">Universal</t>
  </si>
  <si>
    <t xml:space="preserve">Sin garantía</t>
  </si>
  <si>
    <t xml:space="preserve">Espejo universal para moto.
- Rosca 10mm.
- Cuerpo de aluminio.</t>
  </si>
  <si>
    <t xml:space="preserve">Accesorios para Vehículos &gt; Acc. para Motos y Cuatriciclos &gt; Soportes y Bases</t>
  </si>
  <si>
    <t xml:space="preserve">Soporte universal para celular apto para moto, con anclaje a la base del espejo.
- Sujeción ajustable: se adapta a celulares de 4,7" a 7".
- Rotación 360°: podés usarlo en vertical u horizontal.
- Construcción en ABS reforzado con gomas antivibración.
- Instalación sin herramientas especiales.
Producto nuevo. Envíos a todo el país.</t>
  </si>
  <si>
    <t xml:space="preserve">Soporte universal para celular apto para moto, con anclaje al manillar.
- Sujeción ajustable: se adapta a celulares de 4,7" a 7".
- Rotación 360°: podés usarlo en vertical u horizontal.
- Construcción en ABS reforzado con gomas antivibración.
- Instalación sin herramientas especiales.
Producto nuevo. Envíos a todo el país.</t>
  </si>
  <si>
    <t xml:space="preserve">Accesorios para Vehículos &gt; Acc. para Motos y Cuatriciclos &gt; Espejos</t>
  </si>
  <si>
    <t xml:space="preserve">Par de espejos de puño circulares para moto, universales.
- Montaje en manillar de 7/8" (22mm).
- Cuerpo de aluminio con terminación negra.
- Brazo y cabezal regulables para ajustar el ángulo de visión.
- Se venden por par (izquierdo y derecho).
Producto nuevo. Envíos a todo el país.</t>
  </si>
  <si>
    <t xml:space="preserve">Extensor / adaptador de rosca para espejo de moto.
- Rosca interior: 10mm horario.
- Rosca exterior: 10mm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</si>
  <si>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horario.
- Rosca exterior: 10mm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</si>
  <si>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horario.
- Rosca exterior: 8mm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</si>
  <si>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horario.
- Rosca exterior: 8mm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</si>
  <si>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antihorario.
- Rosca exterior: 10mm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</si>
  <si>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antihorario.
- Rosca exterior: 10mm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</si>
  <si>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antihorario.
- Rosca exterior: 8mm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</si>
  <si>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10mm antihorario.
- Rosca exterior: 8mm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</si>
  <si>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horario.
- Rosca exterior: 10mm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</si>
  <si>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horario.
- Rosca exterior: 10mm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</si>
  <si>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horario.
- Rosca exterior: 8mm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</si>
  <si>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horario.
- Rosca exterior: 8mm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</si>
  <si>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antihorario.
- Rosca exterior: 10mm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</si>
  <si>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antihorario.
- Rosca exterior: 10mm antihorario.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</si>
  <si>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antihorario.
- Rosca exterior: 8mm horario.
- Permite montar espejos con rosca distinta a la del soporte original y ganar altura para mejorar el campo de visión.
- Acero con terminación negra.
- Se vende por unidad.
Producto nuevo. Envíos a todo el país.</t>
  </si>
  <si>
    <t xml:space="preserve">Extensor / adaptador de rosca para espejo de moto.
- Rosca interior: 8mm antihorario.
- Rosca exterior: 8mm antihorario.
- Permite montar espejos con rosca distinta a la del soporte original y ganar altura para mejorar el campo de visión.
- Acero con terminación negra.
- Se vende por unidad.
Producto nuevo. Envíos a todo el país.</t>
  </si>
  <si>
    <t xml:space="preserve">Accesorios para Vehículos &gt; Acc. para Motos y Cuatriciclos &gt; Manubrios</t>
  </si>
  <si>
    <t xml:space="preserve">Manillar alto con superficie antideslizante, universal para moto, en negro.
- Medida universal 7/8" (22mm) de diámetro.
- Aluminio de alta resistencia.
- Compatible con puños, espejos y comandos estándar.
- Se vende por unidad.
Producto nuevo. Envíos a todo el país.</t>
  </si>
  <si>
    <t xml:space="preserve">Manillar Moto Universal 7/8 22mm Alto Plateado</t>
  </si>
  <si>
    <t xml:space="preserve">Manillar alto con superficie antideslizante, universal para moto, en plateado cromado.
- Medida universal 7/8" (22mm) de diámetro.
- Aluminio de alta resistencia.
- Compatible con puños, espejos y comandos estándar.
- Se vende por unidad.
Producto nuevo. Envíos a todo el país.</t>
  </si>
  <si>
    <t xml:space="preserve">Manillar Café Racer Universal 7/8 22mm Recto Cromado</t>
  </si>
  <si>
    <t xml:space="preserve">Manillar tipo Café Racer, recto, universal para moto, en plateado cromado.
- Medida universal 7/8" (22mm) de diámetro.
- Aluminio de alta resistencia.
- Compatible con puños, espejos y comandos estándar.
- Se vende por unidad.
Producto nuevo. Envíos a todo el país.</t>
  </si>
  <si>
    <t xml:space="preserve">Largo título: Mercado Libre corta en 60 caracteres. Los que se pasan hay que acortarlos antes de subir.</t>
  </si>
  <si>
    <t xml:space="preserve">Marca / Modelo / Garantía: valores por defecto. Si la plantilla de la categoría pide atributos adicionales (material, color, tipo de rosca), completalos ahí.</t>
  </si>
  <si>
    <t xml:space="preserve">Tipo de publicación: 'Clásica' es el default. Si querés Premium, cambialo antes de subir — cambia la comisión.</t>
  </si>
</sst>
</file>

<file path=xl/styles.xml><?xml version="1.0" encoding="utf-8"?>
<styleSheet xmlns="http://schemas.openxmlformats.org/spreadsheetml/2006/main">
  <numFmts count="9">
    <numFmt numFmtId="164" formatCode="General"/>
    <numFmt numFmtId="165" formatCode="\$#,##0.00"/>
    <numFmt numFmtId="166" formatCode="0.0000"/>
    <numFmt numFmtId="167" formatCode="0.00"/>
    <numFmt numFmtId="168" formatCode="\$#,##0"/>
    <numFmt numFmtId="169" formatCode="#,##0"/>
    <numFmt numFmtId="170" formatCode="\$#,##0.0000"/>
    <numFmt numFmtId="171" formatCode="0.00\x"/>
    <numFmt numFmtId="172"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color rgb="FF666666"/>
      <name val="Arial"/>
      <family val="0"/>
      <charset val="1"/>
    </font>
    <font>
      <b val="true"/>
      <sz val="11"/>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name val="Arial"/>
      <family val="0"/>
      <charset val="1"/>
    </font>
    <font>
      <b val="true"/>
      <sz val="9"/>
      <color rgb="FF9C6500"/>
      <name val="Arial"/>
      <family val="0"/>
      <charset val="1"/>
    </font>
    <font>
      <i val="true"/>
      <sz val="10"/>
      <color rgb="FF9C6500"/>
      <name val="Arial"/>
      <family val="0"/>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2F3E4E"/>
        <bgColor rgb="FF333399"/>
      </patternFill>
    </fill>
    <fill>
      <patternFill patternType="solid">
        <fgColor rgb="FFEFEFEF"/>
        <bgColor rgb="FFFFF2CC"/>
      </patternFill>
    </fill>
    <fill>
      <patternFill patternType="solid">
        <fgColor rgb="FFFFF2CC"/>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8" fillId="2" borderId="1" xfId="0" applyFont="true" applyBorder="true" applyAlignment="true" applyProtection="false">
      <alignment horizontal="center" vertical="center" textRotation="0" wrapText="false" indent="0" shrinkToFit="false"/>
      <protection locked="true" hidden="false"/>
    </xf>
    <xf numFmtId="168" fontId="8"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8" fillId="2"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72" fontId="13" fillId="5" borderId="1" xfId="0" applyFont="true" applyBorder="true" applyAlignment="true" applyProtection="false">
      <alignment horizontal="center" vertical="center" textRotation="0" wrapText="false" indent="0" shrinkToFit="false"/>
      <protection locked="true" hidden="false"/>
    </xf>
    <xf numFmtId="168" fontId="13" fillId="5" borderId="1" xfId="0" applyFont="true" applyBorder="true" applyAlignment="true" applyProtection="false">
      <alignment horizontal="general" vertical="top" textRotation="0" wrapText="tru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2CC"/>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F3E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2"/>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10" customFormat="false" ht="15" hidden="false" customHeight="false" outlineLevel="0" collapsed="false">
      <c r="B10" s="3" t="s">
        <v>6</v>
      </c>
    </row>
    <row r="11" customFormat="false" ht="15" hidden="false" customHeight="false" outlineLevel="0" collapsed="false">
      <c r="B11" s="5" t="s">
        <v>7</v>
      </c>
    </row>
    <row r="12" customFormat="false" ht="23.85" hidden="false" customHeight="false" outlineLevel="0" collapsed="false">
      <c r="B12" s="5" t="s">
        <v>8</v>
      </c>
    </row>
    <row r="14" customFormat="false" ht="15" hidden="false" customHeight="false" outlineLevel="0" collapsed="false">
      <c r="B14" s="3" t="s">
        <v>9</v>
      </c>
    </row>
    <row r="15" customFormat="false" ht="15" hidden="false" customHeight="false" outlineLevel="0" collapsed="false">
      <c r="B15" s="4" t="s">
        <v>10</v>
      </c>
    </row>
    <row r="16" customFormat="false" ht="15" hidden="false" customHeight="false" outlineLevel="0" collapsed="false">
      <c r="B16" s="4" t="s">
        <v>11</v>
      </c>
    </row>
    <row r="17" customFormat="false" ht="15" hidden="false" customHeight="false" outlineLevel="0" collapsed="false">
      <c r="B17" s="4" t="s">
        <v>12</v>
      </c>
    </row>
    <row r="18" customFormat="false" ht="23.85" hidden="false" customHeight="false" outlineLevel="0" collapsed="false">
      <c r="B18" s="4" t="s">
        <v>13</v>
      </c>
    </row>
    <row r="19" customFormat="false" ht="15" hidden="false" customHeight="false" outlineLevel="0" collapsed="false">
      <c r="B19" s="4" t="s">
        <v>14</v>
      </c>
    </row>
    <row r="20" customFormat="false" ht="15" hidden="false" customHeight="false" outlineLevel="0" collapsed="false">
      <c r="B20" s="4" t="s">
        <v>15</v>
      </c>
    </row>
    <row r="22" customFormat="false" ht="15" hidden="false" customHeight="false" outlineLevel="0" collapsed="false">
      <c r="B22" s="3" t="s">
        <v>16</v>
      </c>
    </row>
    <row r="23" customFormat="false" ht="23.85" hidden="false" customHeight="false" outlineLevel="0" collapsed="false">
      <c r="B23" s="4" t="s">
        <v>17</v>
      </c>
    </row>
    <row r="24" customFormat="false" ht="23.85" hidden="false" customHeight="false" outlineLevel="0" collapsed="false">
      <c r="B24" s="4" t="s">
        <v>18</v>
      </c>
    </row>
    <row r="26" customFormat="false" ht="15" hidden="false" customHeight="false" outlineLevel="0" collapsed="false">
      <c r="B26" s="3" t="s">
        <v>19</v>
      </c>
    </row>
    <row r="27" customFormat="false" ht="15" hidden="false" customHeight="false" outlineLevel="0" collapsed="false">
      <c r="B27" s="5" t="s">
        <v>20</v>
      </c>
    </row>
    <row r="28" customFormat="false" ht="15" hidden="false" customHeight="false" outlineLevel="0" collapsed="false">
      <c r="B28" s="6" t="s">
        <v>21</v>
      </c>
    </row>
    <row r="29" customFormat="false" ht="15" hidden="false" customHeight="false" outlineLevel="0" collapsed="false">
      <c r="B29" s="7" t="s">
        <v>22</v>
      </c>
    </row>
    <row r="30" customFormat="false" ht="15" hidden="false" customHeight="false" outlineLevel="0" collapsed="false">
      <c r="B30"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16"/>
    <col collapsed="false" customWidth="true" hidden="false" outlineLevel="0" max="4" min="4" style="0" width="60"/>
  </cols>
  <sheetData>
    <row r="2" customFormat="false" ht="17.35" hidden="false" customHeight="false" outlineLevel="0" collapsed="false">
      <c r="B2" s="8" t="s">
        <v>24</v>
      </c>
    </row>
    <row r="4" customFormat="false" ht="15" hidden="false" customHeight="false" outlineLevel="0" collapsed="false">
      <c r="B4" s="9" t="s">
        <v>25</v>
      </c>
      <c r="C4" s="9" t="s">
        <v>26</v>
      </c>
      <c r="D4" s="9" t="s">
        <v>27</v>
      </c>
    </row>
    <row r="5" customFormat="false" ht="45.75" hidden="false" customHeight="true" outlineLevel="0" collapsed="false">
      <c r="B5" s="10" t="s">
        <v>28</v>
      </c>
      <c r="C5" s="11" t="n">
        <v>1467</v>
      </c>
      <c r="D5" s="12" t="s">
        <v>29</v>
      </c>
    </row>
    <row r="6" customFormat="false" ht="45.75" hidden="false" customHeight="true" outlineLevel="0" collapsed="false">
      <c r="B6" s="10" t="s">
        <v>30</v>
      </c>
      <c r="C6" s="11" t="n">
        <v>685.2</v>
      </c>
      <c r="D6" s="12" t="s">
        <v>31</v>
      </c>
    </row>
    <row r="7" customFormat="false" ht="45.75" hidden="false" customHeight="true" outlineLevel="0" collapsed="false">
      <c r="B7" s="10" t="s">
        <v>32</v>
      </c>
      <c r="C7" s="13" t="n">
        <f aca="false">C5/C6</f>
        <v>2.14098073555166</v>
      </c>
      <c r="D7" s="12" t="s">
        <v>33</v>
      </c>
    </row>
    <row r="8" customFormat="false" ht="45.75" hidden="false" customHeight="true" outlineLevel="0" collapsed="false">
      <c r="B8" s="10" t="s">
        <v>34</v>
      </c>
      <c r="C8" s="14" t="n">
        <v>42</v>
      </c>
      <c r="D8" s="12" t="s">
        <v>35</v>
      </c>
    </row>
    <row r="9" customFormat="false" ht="45.75" hidden="false" customHeight="true" outlineLevel="0" collapsed="false">
      <c r="B9" s="10" t="s">
        <v>36</v>
      </c>
      <c r="C9" s="15" t="n">
        <v>290</v>
      </c>
      <c r="D9" s="12" t="s">
        <v>37</v>
      </c>
    </row>
    <row r="11" customFormat="false" ht="15" hidden="false" customHeight="false" outlineLevel="0" collapsed="false">
      <c r="B11" s="16" t="s">
        <v>38</v>
      </c>
      <c r="C11" s="16"/>
      <c r="D11" s="16"/>
    </row>
  </sheetData>
  <mergeCells count="1">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22"/>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12"/>
    <col collapsed="false" customWidth="true" hidden="false" outlineLevel="0" max="9" min="9" style="0" width="9"/>
    <col collapsed="false" customWidth="true" hidden="false" outlineLevel="0" max="11" min="10" style="0" width="12"/>
    <col collapsed="false" customWidth="true" hidden="false" outlineLevel="0" max="12" min="12" style="0" width="26"/>
  </cols>
  <sheetData>
    <row r="1" customFormat="false" ht="17.35" hidden="false" customHeight="false" outlineLevel="0" collapsed="false">
      <c r="A1" s="8" t="s">
        <v>39</v>
      </c>
    </row>
    <row r="2" customFormat="false" ht="15" hidden="false" customHeight="false" outlineLevel="0" collapsed="false">
      <c r="A2" s="17" t="s">
        <v>40</v>
      </c>
    </row>
    <row r="4" customFormat="false" ht="31.5" hidden="false" customHeight="true" outlineLevel="0" collapsed="false">
      <c r="A4" s="18" t="s">
        <v>41</v>
      </c>
      <c r="B4" s="18" t="s">
        <v>42</v>
      </c>
      <c r="C4" s="18" t="s">
        <v>43</v>
      </c>
      <c r="D4" s="18" t="s">
        <v>44</v>
      </c>
      <c r="E4" s="18" t="s">
        <v>45</v>
      </c>
      <c r="F4" s="18" t="s">
        <v>46</v>
      </c>
      <c r="G4" s="18" t="s">
        <v>47</v>
      </c>
      <c r="H4" s="18" t="s">
        <v>48</v>
      </c>
      <c r="I4" s="18" t="s">
        <v>49</v>
      </c>
      <c r="J4" s="18" t="s">
        <v>50</v>
      </c>
      <c r="K4" s="18" t="s">
        <v>51</v>
      </c>
      <c r="L4" s="18" t="s">
        <v>52</v>
      </c>
    </row>
    <row r="5" customFormat="false" ht="15" hidden="false" customHeight="false" outlineLevel="0" collapsed="false">
      <c r="A5" s="19" t="s">
        <v>53</v>
      </c>
      <c r="B5" s="20" t="s">
        <v>54</v>
      </c>
      <c r="C5" s="19" t="s">
        <v>55</v>
      </c>
      <c r="D5" s="21" t="n">
        <v>100</v>
      </c>
      <c r="E5" s="22" t="n">
        <v>1</v>
      </c>
      <c r="F5" s="23" t="n">
        <f aca="false">D5*E5</f>
        <v>100</v>
      </c>
      <c r="G5" s="24" t="n">
        <f aca="false">E5*Parametros!$C$7</f>
        <v>2.14098073555166</v>
      </c>
      <c r="H5" s="23" t="n">
        <f aca="false">G5*Parametros!$C$8</f>
        <v>89.9211908931699</v>
      </c>
      <c r="I5" s="25" t="n">
        <v>8</v>
      </c>
      <c r="J5" s="26" t="n">
        <f aca="false">ROUND(H5*I5,0)</f>
        <v>719</v>
      </c>
      <c r="K5" s="26" t="n">
        <f aca="false">MAX(J5,Parametros!$C$9)</f>
        <v>719</v>
      </c>
      <c r="L5" s="27" t="s">
        <v>56</v>
      </c>
    </row>
    <row r="6" customFormat="false" ht="15" hidden="false" customHeight="false" outlineLevel="0" collapsed="false">
      <c r="A6" s="19" t="s">
        <v>57</v>
      </c>
      <c r="B6" s="20" t="s">
        <v>58</v>
      </c>
      <c r="C6" s="19" t="s">
        <v>55</v>
      </c>
      <c r="D6" s="21" t="n">
        <v>100</v>
      </c>
      <c r="E6" s="22" t="n">
        <v>1</v>
      </c>
      <c r="F6" s="23" t="n">
        <f aca="false">D6*E6</f>
        <v>100</v>
      </c>
      <c r="G6" s="24" t="n">
        <f aca="false">E6*Parametros!$C$7</f>
        <v>2.14098073555166</v>
      </c>
      <c r="H6" s="23" t="n">
        <f aca="false">G6*Parametros!$C$8</f>
        <v>89.9211908931699</v>
      </c>
      <c r="I6" s="25" t="n">
        <v>8</v>
      </c>
      <c r="J6" s="26" t="n">
        <f aca="false">ROUND(H6*I6,0)</f>
        <v>719</v>
      </c>
      <c r="K6" s="26" t="n">
        <f aca="false">MAX(J6,Parametros!$C$9)</f>
        <v>719</v>
      </c>
      <c r="L6" s="27" t="s">
        <v>56</v>
      </c>
    </row>
    <row r="7" customFormat="false" ht="15" hidden="false" customHeight="false" outlineLevel="0" collapsed="false">
      <c r="A7" s="19" t="s">
        <v>59</v>
      </c>
      <c r="B7" s="20" t="s">
        <v>60</v>
      </c>
      <c r="C7" s="19" t="s">
        <v>61</v>
      </c>
      <c r="D7" s="21" t="n">
        <v>10</v>
      </c>
      <c r="E7" s="22" t="n">
        <v>3.8</v>
      </c>
      <c r="F7" s="23" t="n">
        <f aca="false">D7*E7</f>
        <v>38</v>
      </c>
      <c r="G7" s="24" t="n">
        <f aca="false">E7*Parametros!$C$7</f>
        <v>8.13572679509632</v>
      </c>
      <c r="H7" s="23" t="n">
        <f aca="false">G7*Parametros!$C$8</f>
        <v>341.700525394046</v>
      </c>
      <c r="I7" s="25" t="n">
        <v>3.1</v>
      </c>
      <c r="J7" s="26" t="n">
        <f aca="false">ROUND(H7*I7,0)</f>
        <v>1059</v>
      </c>
      <c r="K7" s="26" t="n">
        <f aca="false">MAX(J7,Parametros!$C$9)</f>
        <v>1059</v>
      </c>
      <c r="L7" s="19" t="s">
        <v>62</v>
      </c>
    </row>
    <row r="8" customFormat="false" ht="15" hidden="false" customHeight="false" outlineLevel="0" collapsed="false">
      <c r="A8" s="19" t="s">
        <v>63</v>
      </c>
      <c r="B8" s="20" t="s">
        <v>64</v>
      </c>
      <c r="C8" s="19" t="s">
        <v>65</v>
      </c>
      <c r="D8" s="21" t="n">
        <v>5</v>
      </c>
      <c r="E8" s="22" t="n">
        <v>2.7</v>
      </c>
      <c r="F8" s="23" t="n">
        <f aca="false">D8*E8</f>
        <v>13.5</v>
      </c>
      <c r="G8" s="24" t="n">
        <f aca="false">E8*Parametros!$C$7</f>
        <v>5.78064798598949</v>
      </c>
      <c r="H8" s="23" t="n">
        <f aca="false">G8*Parametros!$C$8</f>
        <v>242.787215411559</v>
      </c>
      <c r="I8" s="25" t="n">
        <v>2.46</v>
      </c>
      <c r="J8" s="26" t="n">
        <f aca="false">ROUND(H8*I8,0)</f>
        <v>597</v>
      </c>
      <c r="K8" s="26" t="n">
        <f aca="false">MAX(J8,Parametros!$C$9)</f>
        <v>597</v>
      </c>
      <c r="L8" s="19" t="s">
        <v>66</v>
      </c>
    </row>
    <row r="9" customFormat="false" ht="15" hidden="false" customHeight="false" outlineLevel="0" collapsed="false">
      <c r="A9" s="19" t="s">
        <v>67</v>
      </c>
      <c r="B9" s="20" t="s">
        <v>68</v>
      </c>
      <c r="C9" s="19" t="s">
        <v>65</v>
      </c>
      <c r="D9" s="21" t="n">
        <v>5</v>
      </c>
      <c r="E9" s="22" t="n">
        <v>2.7</v>
      </c>
      <c r="F9" s="23" t="n">
        <f aca="false">D9*E9</f>
        <v>13.5</v>
      </c>
      <c r="G9" s="24" t="n">
        <f aca="false">E9*Parametros!$C$7</f>
        <v>5.78064798598949</v>
      </c>
      <c r="H9" s="23" t="n">
        <f aca="false">G9*Parametros!$C$8</f>
        <v>242.787215411559</v>
      </c>
      <c r="I9" s="25" t="n">
        <v>2.46</v>
      </c>
      <c r="J9" s="26" t="n">
        <f aca="false">ROUND(H9*I9,0)</f>
        <v>597</v>
      </c>
      <c r="K9" s="26" t="n">
        <f aca="false">MAX(J9,Parametros!$C$9)</f>
        <v>597</v>
      </c>
      <c r="L9" s="19" t="s">
        <v>66</v>
      </c>
    </row>
    <row r="10" customFormat="false" ht="15" hidden="false" customHeight="false" outlineLevel="0" collapsed="false">
      <c r="A10" s="19" t="s">
        <v>69</v>
      </c>
      <c r="B10" s="20" t="s">
        <v>70</v>
      </c>
      <c r="C10" s="19" t="s">
        <v>65</v>
      </c>
      <c r="D10" s="21" t="n">
        <v>5</v>
      </c>
      <c r="E10" s="22" t="n">
        <v>3</v>
      </c>
      <c r="F10" s="23" t="n">
        <f aca="false">D10*E10</f>
        <v>15</v>
      </c>
      <c r="G10" s="24" t="n">
        <f aca="false">E10*Parametros!$C$7</f>
        <v>6.42294220665499</v>
      </c>
      <c r="H10" s="23" t="n">
        <f aca="false">G10*Parametros!$C$8</f>
        <v>269.76357267951</v>
      </c>
      <c r="I10" s="25" t="n">
        <v>2.46</v>
      </c>
      <c r="J10" s="26" t="n">
        <f aca="false">ROUND(H10*I10,0)</f>
        <v>664</v>
      </c>
      <c r="K10" s="26" t="n">
        <f aca="false">MAX(J10,Parametros!$C$9)</f>
        <v>664</v>
      </c>
      <c r="L10" s="19" t="s">
        <v>66</v>
      </c>
    </row>
    <row r="11" customFormat="false" ht="15" hidden="false" customHeight="false" outlineLevel="0" collapsed="false">
      <c r="A11" s="19" t="s">
        <v>71</v>
      </c>
      <c r="B11" s="20" t="s">
        <v>72</v>
      </c>
      <c r="C11" s="19" t="s">
        <v>73</v>
      </c>
      <c r="D11" s="21" t="n">
        <v>10</v>
      </c>
      <c r="E11" s="22" t="n">
        <v>0.12</v>
      </c>
      <c r="F11" s="23" t="n">
        <f aca="false">D11*E11</f>
        <v>1.2</v>
      </c>
      <c r="G11" s="24" t="n">
        <f aca="false">E11*Parametros!$C$7</f>
        <v>0.2569176882662</v>
      </c>
      <c r="H11" s="23" t="n">
        <f aca="false">G11*Parametros!$C$8</f>
        <v>10.7905429071804</v>
      </c>
      <c r="I11" s="25" t="n">
        <v>20</v>
      </c>
      <c r="J11" s="26" t="n">
        <f aca="false">ROUND(H11*I11,0)</f>
        <v>216</v>
      </c>
      <c r="K11" s="26" t="n">
        <f aca="false">MAX(J11,Parametros!$C$9)</f>
        <v>290</v>
      </c>
      <c r="L11" s="27" t="s">
        <v>56</v>
      </c>
    </row>
    <row r="12" customFormat="false" ht="15" hidden="false" customHeight="false" outlineLevel="0" collapsed="false">
      <c r="A12" s="19" t="s">
        <v>74</v>
      </c>
      <c r="B12" s="20" t="s">
        <v>75</v>
      </c>
      <c r="C12" s="19" t="s">
        <v>73</v>
      </c>
      <c r="D12" s="21" t="n">
        <v>10</v>
      </c>
      <c r="E12" s="22" t="n">
        <v>0.12</v>
      </c>
      <c r="F12" s="23" t="n">
        <f aca="false">D12*E12</f>
        <v>1.2</v>
      </c>
      <c r="G12" s="24" t="n">
        <f aca="false">E12*Parametros!$C$7</f>
        <v>0.2569176882662</v>
      </c>
      <c r="H12" s="23" t="n">
        <f aca="false">G12*Parametros!$C$8</f>
        <v>10.7905429071804</v>
      </c>
      <c r="I12" s="25" t="n">
        <v>20</v>
      </c>
      <c r="J12" s="26" t="n">
        <f aca="false">ROUND(H12*I12,0)</f>
        <v>216</v>
      </c>
      <c r="K12" s="26" t="n">
        <f aca="false">MAX(J12,Parametros!$C$9)</f>
        <v>290</v>
      </c>
      <c r="L12" s="27" t="s">
        <v>56</v>
      </c>
    </row>
    <row r="13" customFormat="false" ht="15" hidden="false" customHeight="false" outlineLevel="0" collapsed="false">
      <c r="A13" s="19" t="s">
        <v>76</v>
      </c>
      <c r="B13" s="20" t="s">
        <v>77</v>
      </c>
      <c r="C13" s="19" t="s">
        <v>73</v>
      </c>
      <c r="D13" s="21" t="n">
        <v>10</v>
      </c>
      <c r="E13" s="22" t="n">
        <v>0.12</v>
      </c>
      <c r="F13" s="23" t="n">
        <f aca="false">D13*E13</f>
        <v>1.2</v>
      </c>
      <c r="G13" s="24" t="n">
        <f aca="false">E13*Parametros!$C$7</f>
        <v>0.2569176882662</v>
      </c>
      <c r="H13" s="23" t="n">
        <f aca="false">G13*Parametros!$C$8</f>
        <v>10.7905429071804</v>
      </c>
      <c r="I13" s="25" t="n">
        <v>20</v>
      </c>
      <c r="J13" s="26" t="n">
        <f aca="false">ROUND(H13*I13,0)</f>
        <v>216</v>
      </c>
      <c r="K13" s="26" t="n">
        <f aca="false">MAX(J13,Parametros!$C$9)</f>
        <v>290</v>
      </c>
      <c r="L13" s="27" t="s">
        <v>56</v>
      </c>
    </row>
    <row r="14" customFormat="false" ht="15" hidden="false" customHeight="false" outlineLevel="0" collapsed="false">
      <c r="A14" s="19" t="s">
        <v>78</v>
      </c>
      <c r="B14" s="20" t="s">
        <v>79</v>
      </c>
      <c r="C14" s="19" t="s">
        <v>73</v>
      </c>
      <c r="D14" s="21" t="n">
        <v>10</v>
      </c>
      <c r="E14" s="22" t="n">
        <v>0.12</v>
      </c>
      <c r="F14" s="23" t="n">
        <f aca="false">D14*E14</f>
        <v>1.2</v>
      </c>
      <c r="G14" s="24" t="n">
        <f aca="false">E14*Parametros!$C$7</f>
        <v>0.2569176882662</v>
      </c>
      <c r="H14" s="23" t="n">
        <f aca="false">G14*Parametros!$C$8</f>
        <v>10.7905429071804</v>
      </c>
      <c r="I14" s="25" t="n">
        <v>20</v>
      </c>
      <c r="J14" s="26" t="n">
        <f aca="false">ROUND(H14*I14,0)</f>
        <v>216</v>
      </c>
      <c r="K14" s="26" t="n">
        <f aca="false">MAX(J14,Parametros!$C$9)</f>
        <v>290</v>
      </c>
      <c r="L14" s="27" t="s">
        <v>56</v>
      </c>
    </row>
    <row r="15" customFormat="false" ht="15" hidden="false" customHeight="false" outlineLevel="0" collapsed="false">
      <c r="A15" s="19" t="s">
        <v>80</v>
      </c>
      <c r="B15" s="20" t="s">
        <v>81</v>
      </c>
      <c r="C15" s="19" t="s">
        <v>73</v>
      </c>
      <c r="D15" s="21" t="n">
        <v>10</v>
      </c>
      <c r="E15" s="22" t="n">
        <v>0.12</v>
      </c>
      <c r="F15" s="23" t="n">
        <f aca="false">D15*E15</f>
        <v>1.2</v>
      </c>
      <c r="G15" s="24" t="n">
        <f aca="false">E15*Parametros!$C$7</f>
        <v>0.2569176882662</v>
      </c>
      <c r="H15" s="23" t="n">
        <f aca="false">G15*Parametros!$C$8</f>
        <v>10.7905429071804</v>
      </c>
      <c r="I15" s="25" t="n">
        <v>20</v>
      </c>
      <c r="J15" s="26" t="n">
        <f aca="false">ROUND(H15*I15,0)</f>
        <v>216</v>
      </c>
      <c r="K15" s="26" t="n">
        <f aca="false">MAX(J15,Parametros!$C$9)</f>
        <v>290</v>
      </c>
      <c r="L15" s="27" t="s">
        <v>56</v>
      </c>
    </row>
    <row r="16" customFormat="false" ht="15" hidden="false" customHeight="false" outlineLevel="0" collapsed="false">
      <c r="A16" s="19" t="s">
        <v>82</v>
      </c>
      <c r="B16" s="20" t="s">
        <v>83</v>
      </c>
      <c r="C16" s="19" t="s">
        <v>73</v>
      </c>
      <c r="D16" s="21" t="n">
        <v>10</v>
      </c>
      <c r="E16" s="22" t="n">
        <v>0.12</v>
      </c>
      <c r="F16" s="23" t="n">
        <f aca="false">D16*E16</f>
        <v>1.2</v>
      </c>
      <c r="G16" s="24" t="n">
        <f aca="false">E16*Parametros!$C$7</f>
        <v>0.2569176882662</v>
      </c>
      <c r="H16" s="23" t="n">
        <f aca="false">G16*Parametros!$C$8</f>
        <v>10.7905429071804</v>
      </c>
      <c r="I16" s="25" t="n">
        <v>20</v>
      </c>
      <c r="J16" s="26" t="n">
        <f aca="false">ROUND(H16*I16,0)</f>
        <v>216</v>
      </c>
      <c r="K16" s="26" t="n">
        <f aca="false">MAX(J16,Parametros!$C$9)</f>
        <v>290</v>
      </c>
      <c r="L16" s="27" t="s">
        <v>56</v>
      </c>
    </row>
    <row r="17" customFormat="false" ht="15" hidden="false" customHeight="false" outlineLevel="0" collapsed="false">
      <c r="A17" s="19" t="s">
        <v>84</v>
      </c>
      <c r="B17" s="20" t="s">
        <v>85</v>
      </c>
      <c r="C17" s="19" t="s">
        <v>73</v>
      </c>
      <c r="D17" s="21" t="n">
        <v>10</v>
      </c>
      <c r="E17" s="22" t="n">
        <v>0.12</v>
      </c>
      <c r="F17" s="23" t="n">
        <f aca="false">D17*E17</f>
        <v>1.2</v>
      </c>
      <c r="G17" s="24" t="n">
        <f aca="false">E17*Parametros!$C$7</f>
        <v>0.2569176882662</v>
      </c>
      <c r="H17" s="23" t="n">
        <f aca="false">G17*Parametros!$C$8</f>
        <v>10.7905429071804</v>
      </c>
      <c r="I17" s="25" t="n">
        <v>20</v>
      </c>
      <c r="J17" s="26" t="n">
        <f aca="false">ROUND(H17*I17,0)</f>
        <v>216</v>
      </c>
      <c r="K17" s="26" t="n">
        <f aca="false">MAX(J17,Parametros!$C$9)</f>
        <v>290</v>
      </c>
      <c r="L17" s="27" t="s">
        <v>56</v>
      </c>
    </row>
    <row r="18" customFormat="false" ht="15" hidden="false" customHeight="false" outlineLevel="0" collapsed="false">
      <c r="A18" s="19" t="s">
        <v>86</v>
      </c>
      <c r="B18" s="20" t="s">
        <v>87</v>
      </c>
      <c r="C18" s="19" t="s">
        <v>73</v>
      </c>
      <c r="D18" s="21" t="n">
        <v>10</v>
      </c>
      <c r="E18" s="22" t="n">
        <v>0.12</v>
      </c>
      <c r="F18" s="23" t="n">
        <f aca="false">D18*E18</f>
        <v>1.2</v>
      </c>
      <c r="G18" s="24" t="n">
        <f aca="false">E18*Parametros!$C$7</f>
        <v>0.2569176882662</v>
      </c>
      <c r="H18" s="23" t="n">
        <f aca="false">G18*Parametros!$C$8</f>
        <v>10.7905429071804</v>
      </c>
      <c r="I18" s="25" t="n">
        <v>20</v>
      </c>
      <c r="J18" s="26" t="n">
        <f aca="false">ROUND(H18*I18,0)</f>
        <v>216</v>
      </c>
      <c r="K18" s="26" t="n">
        <f aca="false">MAX(J18,Parametros!$C$9)</f>
        <v>290</v>
      </c>
      <c r="L18" s="27" t="s">
        <v>56</v>
      </c>
    </row>
    <row r="19" customFormat="false" ht="15" hidden="false" customHeight="false" outlineLevel="0" collapsed="false">
      <c r="A19" s="19" t="s">
        <v>88</v>
      </c>
      <c r="B19" s="20" t="s">
        <v>89</v>
      </c>
      <c r="C19" s="19" t="s">
        <v>73</v>
      </c>
      <c r="D19" s="21" t="n">
        <v>10</v>
      </c>
      <c r="E19" s="22" t="n">
        <v>0.12</v>
      </c>
      <c r="F19" s="23" t="n">
        <f aca="false">D19*E19</f>
        <v>1.2</v>
      </c>
      <c r="G19" s="24" t="n">
        <f aca="false">E19*Parametros!$C$7</f>
        <v>0.2569176882662</v>
      </c>
      <c r="H19" s="23" t="n">
        <f aca="false">G19*Parametros!$C$8</f>
        <v>10.7905429071804</v>
      </c>
      <c r="I19" s="25" t="n">
        <v>20</v>
      </c>
      <c r="J19" s="26" t="n">
        <f aca="false">ROUND(H19*I19,0)</f>
        <v>216</v>
      </c>
      <c r="K19" s="26" t="n">
        <f aca="false">MAX(J19,Parametros!$C$9)</f>
        <v>290</v>
      </c>
      <c r="L19" s="27" t="s">
        <v>56</v>
      </c>
    </row>
    <row r="20" customFormat="false" ht="15" hidden="false" customHeight="false" outlineLevel="0" collapsed="false">
      <c r="A20" s="19" t="s">
        <v>90</v>
      </c>
      <c r="B20" s="20" t="s">
        <v>91</v>
      </c>
      <c r="C20" s="19" t="s">
        <v>73</v>
      </c>
      <c r="D20" s="21" t="n">
        <v>10</v>
      </c>
      <c r="E20" s="22" t="n">
        <v>0.12</v>
      </c>
      <c r="F20" s="23" t="n">
        <f aca="false">D20*E20</f>
        <v>1.2</v>
      </c>
      <c r="G20" s="24" t="n">
        <f aca="false">E20*Parametros!$C$7</f>
        <v>0.2569176882662</v>
      </c>
      <c r="H20" s="23" t="n">
        <f aca="false">G20*Parametros!$C$8</f>
        <v>10.7905429071804</v>
      </c>
      <c r="I20" s="25" t="n">
        <v>20</v>
      </c>
      <c r="J20" s="26" t="n">
        <f aca="false">ROUND(H20*I20,0)</f>
        <v>216</v>
      </c>
      <c r="K20" s="26" t="n">
        <f aca="false">MAX(J20,Parametros!$C$9)</f>
        <v>290</v>
      </c>
      <c r="L20" s="27" t="s">
        <v>56</v>
      </c>
    </row>
    <row r="21" customFormat="false" ht="15" hidden="false" customHeight="false" outlineLevel="0" collapsed="false">
      <c r="A21" s="19" t="s">
        <v>92</v>
      </c>
      <c r="B21" s="20" t="s">
        <v>93</v>
      </c>
      <c r="C21" s="19" t="s">
        <v>73</v>
      </c>
      <c r="D21" s="21" t="n">
        <v>10</v>
      </c>
      <c r="E21" s="22" t="n">
        <v>0.12</v>
      </c>
      <c r="F21" s="23" t="n">
        <f aca="false">D21*E21</f>
        <v>1.2</v>
      </c>
      <c r="G21" s="24" t="n">
        <f aca="false">E21*Parametros!$C$7</f>
        <v>0.2569176882662</v>
      </c>
      <c r="H21" s="23" t="n">
        <f aca="false">G21*Parametros!$C$8</f>
        <v>10.7905429071804</v>
      </c>
      <c r="I21" s="25" t="n">
        <v>20</v>
      </c>
      <c r="J21" s="26" t="n">
        <f aca="false">ROUND(H21*I21,0)</f>
        <v>216</v>
      </c>
      <c r="K21" s="26" t="n">
        <f aca="false">MAX(J21,Parametros!$C$9)</f>
        <v>290</v>
      </c>
      <c r="L21" s="27" t="s">
        <v>56</v>
      </c>
    </row>
    <row r="22" customFormat="false" ht="15" hidden="false" customHeight="false" outlineLevel="0" collapsed="false">
      <c r="A22" s="19" t="s">
        <v>94</v>
      </c>
      <c r="B22" s="20" t="s">
        <v>95</v>
      </c>
      <c r="C22" s="19" t="s">
        <v>73</v>
      </c>
      <c r="D22" s="21" t="n">
        <v>10</v>
      </c>
      <c r="E22" s="22" t="n">
        <v>0.12</v>
      </c>
      <c r="F22" s="23" t="n">
        <f aca="false">D22*E22</f>
        <v>1.2</v>
      </c>
      <c r="G22" s="24" t="n">
        <f aca="false">E22*Parametros!$C$7</f>
        <v>0.2569176882662</v>
      </c>
      <c r="H22" s="23" t="n">
        <f aca="false">G22*Parametros!$C$8</f>
        <v>10.7905429071804</v>
      </c>
      <c r="I22" s="25" t="n">
        <v>20</v>
      </c>
      <c r="J22" s="26" t="n">
        <f aca="false">ROUND(H22*I22,0)</f>
        <v>216</v>
      </c>
      <c r="K22" s="26" t="n">
        <f aca="false">MAX(J22,Parametros!$C$9)</f>
        <v>290</v>
      </c>
      <c r="L22" s="27" t="s">
        <v>56</v>
      </c>
    </row>
    <row r="23" customFormat="false" ht="15" hidden="false" customHeight="false" outlineLevel="0" collapsed="false">
      <c r="A23" s="19" t="s">
        <v>96</v>
      </c>
      <c r="B23" s="20" t="s">
        <v>97</v>
      </c>
      <c r="C23" s="19" t="s">
        <v>73</v>
      </c>
      <c r="D23" s="21" t="n">
        <v>10</v>
      </c>
      <c r="E23" s="22" t="n">
        <v>0.12</v>
      </c>
      <c r="F23" s="23" t="n">
        <f aca="false">D23*E23</f>
        <v>1.2</v>
      </c>
      <c r="G23" s="24" t="n">
        <f aca="false">E23*Parametros!$C$7</f>
        <v>0.2569176882662</v>
      </c>
      <c r="H23" s="23" t="n">
        <f aca="false">G23*Parametros!$C$8</f>
        <v>10.7905429071804</v>
      </c>
      <c r="I23" s="25" t="n">
        <v>20</v>
      </c>
      <c r="J23" s="26" t="n">
        <f aca="false">ROUND(H23*I23,0)</f>
        <v>216</v>
      </c>
      <c r="K23" s="26" t="n">
        <f aca="false">MAX(J23,Parametros!$C$9)</f>
        <v>290</v>
      </c>
      <c r="L23" s="27" t="s">
        <v>56</v>
      </c>
    </row>
    <row r="24" customFormat="false" ht="15" hidden="false" customHeight="false" outlineLevel="0" collapsed="false">
      <c r="A24" s="19" t="s">
        <v>98</v>
      </c>
      <c r="B24" s="20" t="s">
        <v>99</v>
      </c>
      <c r="C24" s="19" t="s">
        <v>73</v>
      </c>
      <c r="D24" s="21" t="n">
        <v>10</v>
      </c>
      <c r="E24" s="22" t="n">
        <v>0.12</v>
      </c>
      <c r="F24" s="23" t="n">
        <f aca="false">D24*E24</f>
        <v>1.2</v>
      </c>
      <c r="G24" s="24" t="n">
        <f aca="false">E24*Parametros!$C$7</f>
        <v>0.2569176882662</v>
      </c>
      <c r="H24" s="23" t="n">
        <f aca="false">G24*Parametros!$C$8</f>
        <v>10.7905429071804</v>
      </c>
      <c r="I24" s="25" t="n">
        <v>20</v>
      </c>
      <c r="J24" s="26" t="n">
        <f aca="false">ROUND(H24*I24,0)</f>
        <v>216</v>
      </c>
      <c r="K24" s="26" t="n">
        <f aca="false">MAX(J24,Parametros!$C$9)</f>
        <v>290</v>
      </c>
      <c r="L24" s="27" t="s">
        <v>56</v>
      </c>
    </row>
    <row r="25" customFormat="false" ht="15" hidden="false" customHeight="false" outlineLevel="0" collapsed="false">
      <c r="A25" s="19" t="s">
        <v>100</v>
      </c>
      <c r="B25" s="20" t="s">
        <v>101</v>
      </c>
      <c r="C25" s="19" t="s">
        <v>73</v>
      </c>
      <c r="D25" s="21" t="n">
        <v>10</v>
      </c>
      <c r="E25" s="22" t="n">
        <v>0.12</v>
      </c>
      <c r="F25" s="23" t="n">
        <f aca="false">D25*E25</f>
        <v>1.2</v>
      </c>
      <c r="G25" s="24" t="n">
        <f aca="false">E25*Parametros!$C$7</f>
        <v>0.2569176882662</v>
      </c>
      <c r="H25" s="23" t="n">
        <f aca="false">G25*Parametros!$C$8</f>
        <v>10.7905429071804</v>
      </c>
      <c r="I25" s="25" t="n">
        <v>20</v>
      </c>
      <c r="J25" s="26" t="n">
        <f aca="false">ROUND(H25*I25,0)</f>
        <v>216</v>
      </c>
      <c r="K25" s="26" t="n">
        <f aca="false">MAX(J25,Parametros!$C$9)</f>
        <v>290</v>
      </c>
      <c r="L25" s="27" t="s">
        <v>56</v>
      </c>
    </row>
    <row r="26" customFormat="false" ht="15" hidden="false" customHeight="false" outlineLevel="0" collapsed="false">
      <c r="A26" s="19" t="s">
        <v>102</v>
      </c>
      <c r="B26" s="20" t="s">
        <v>103</v>
      </c>
      <c r="C26" s="19" t="s">
        <v>73</v>
      </c>
      <c r="D26" s="21" t="n">
        <v>10</v>
      </c>
      <c r="E26" s="22" t="n">
        <v>0.12</v>
      </c>
      <c r="F26" s="23" t="n">
        <f aca="false">D26*E26</f>
        <v>1.2</v>
      </c>
      <c r="G26" s="24" t="n">
        <f aca="false">E26*Parametros!$C$7</f>
        <v>0.2569176882662</v>
      </c>
      <c r="H26" s="23" t="n">
        <f aca="false">G26*Parametros!$C$8</f>
        <v>10.7905429071804</v>
      </c>
      <c r="I26" s="25" t="n">
        <v>20</v>
      </c>
      <c r="J26" s="26" t="n">
        <f aca="false">ROUND(H26*I26,0)</f>
        <v>216</v>
      </c>
      <c r="K26" s="26" t="n">
        <f aca="false">MAX(J26,Parametros!$C$9)</f>
        <v>290</v>
      </c>
      <c r="L26" s="27" t="s">
        <v>56</v>
      </c>
    </row>
    <row r="27" customFormat="false" ht="15" hidden="false" customHeight="false" outlineLevel="0" collapsed="false">
      <c r="A27" s="28"/>
      <c r="B27" s="28"/>
      <c r="C27" s="29" t="s">
        <v>104</v>
      </c>
      <c r="D27" s="30" t="n">
        <f aca="false">SUM(D5:D26)</f>
        <v>385</v>
      </c>
      <c r="E27" s="28"/>
      <c r="F27" s="31" t="n">
        <f aca="false">SUM(F5:F26)</f>
        <v>299.2</v>
      </c>
      <c r="G27" s="28"/>
      <c r="H27" s="28"/>
      <c r="I27" s="28"/>
      <c r="J27" s="28"/>
      <c r="K27" s="28"/>
      <c r="L27" s="28"/>
    </row>
    <row r="29" customFormat="false" ht="30" hidden="false" customHeight="true" outlineLevel="0" collapsed="false">
      <c r="A29" s="32" t="s">
        <v>105</v>
      </c>
      <c r="B29" s="32"/>
      <c r="C29" s="32"/>
      <c r="D29" s="32"/>
      <c r="E29" s="32"/>
      <c r="F29" s="32"/>
      <c r="G29" s="32"/>
      <c r="H29" s="32"/>
      <c r="I29" s="32"/>
      <c r="J29" s="32"/>
      <c r="K29" s="32"/>
      <c r="L29" s="32"/>
    </row>
    <row r="30" customFormat="false" ht="15" hidden="false" customHeight="true" outlineLevel="0" collapsed="false">
      <c r="A30" s="32" t="s">
        <v>106</v>
      </c>
      <c r="B30" s="32"/>
      <c r="C30" s="32"/>
      <c r="D30" s="32"/>
      <c r="E30" s="32"/>
      <c r="F30" s="32"/>
      <c r="G30" s="32"/>
      <c r="H30" s="32"/>
      <c r="I30" s="32"/>
      <c r="J30" s="32"/>
      <c r="K30" s="32"/>
      <c r="L30" s="32"/>
    </row>
  </sheetData>
  <mergeCells count="2">
    <mergeCell ref="A29:L2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58"/>
    <col collapsed="false" customWidth="true" hidden="false" outlineLevel="0" max="4" min="4" style="0" width="8"/>
    <col collapsed="false" customWidth="true" hidden="false" outlineLevel="0" max="5" min="5" style="0" width="22"/>
    <col collapsed="false" customWidth="true" hidden="false" outlineLevel="0" max="6" min="6" style="0" width="11"/>
    <col collapsed="false" customWidth="true" hidden="false" outlineLevel="0" max="7" min="7" style="0" width="9"/>
    <col collapsed="false" customWidth="true" hidden="false" outlineLevel="0" max="8" min="8" style="0" width="10"/>
    <col collapsed="false" customWidth="true" hidden="false" outlineLevel="0" max="9" min="9" style="0" width="11"/>
    <col collapsed="false" customWidth="true" hidden="false" outlineLevel="0" max="10" min="10" style="0" width="15"/>
    <col collapsed="false" customWidth="true" hidden="false" outlineLevel="0" max="11" min="11" style="0" width="11"/>
    <col collapsed="false" customWidth="true" hidden="false" outlineLevel="0" max="12" min="12" style="0" width="34"/>
    <col collapsed="false" customWidth="true" hidden="false" outlineLevel="0" max="14" min="13" style="0" width="12"/>
    <col collapsed="false" customWidth="true" hidden="false" outlineLevel="0" max="15" min="15" style="0" width="18"/>
    <col collapsed="false" customWidth="true" hidden="false" outlineLevel="0" max="16" min="16" style="0" width="62"/>
  </cols>
  <sheetData>
    <row r="1" customFormat="false" ht="17.35" hidden="false" customHeight="false" outlineLevel="0" collapsed="false">
      <c r="A1" s="8" t="s">
        <v>107</v>
      </c>
    </row>
    <row r="2" customFormat="false" ht="15" hidden="false" customHeight="false" outlineLevel="0" collapsed="false">
      <c r="A2" s="17" t="s">
        <v>108</v>
      </c>
    </row>
    <row r="3" customFormat="false" ht="15" hidden="false" customHeight="false" outlineLevel="0" collapsed="false">
      <c r="A3" s="33" t="s">
        <v>109</v>
      </c>
    </row>
    <row r="4" customFormat="false" ht="31.5" hidden="false" customHeight="true" outlineLevel="0" collapsed="false">
      <c r="A4" s="18" t="s">
        <v>43</v>
      </c>
      <c r="B4" s="18" t="s">
        <v>110</v>
      </c>
      <c r="C4" s="18" t="s">
        <v>111</v>
      </c>
      <c r="D4" s="18" t="s">
        <v>112</v>
      </c>
      <c r="E4" s="18" t="s">
        <v>41</v>
      </c>
      <c r="F4" s="18" t="s">
        <v>113</v>
      </c>
      <c r="G4" s="18" t="s">
        <v>114</v>
      </c>
      <c r="H4" s="18" t="s">
        <v>115</v>
      </c>
      <c r="I4" s="18" t="s">
        <v>116</v>
      </c>
      <c r="J4" s="18" t="s">
        <v>117</v>
      </c>
      <c r="K4" s="18" t="s">
        <v>118</v>
      </c>
      <c r="L4" s="18" t="s">
        <v>119</v>
      </c>
      <c r="M4" s="18" t="s">
        <v>120</v>
      </c>
      <c r="N4" s="18" t="s">
        <v>121</v>
      </c>
      <c r="O4" s="18" t="s">
        <v>122</v>
      </c>
      <c r="P4" s="18" t="s">
        <v>123</v>
      </c>
    </row>
    <row r="5" customFormat="false" ht="30" hidden="false" customHeight="true" outlineLevel="0" collapsed="false">
      <c r="A5" s="34" t="s">
        <v>124</v>
      </c>
      <c r="B5" s="34" t="s">
        <v>125</v>
      </c>
      <c r="C5" s="34" t="s">
        <v>126</v>
      </c>
      <c r="D5" s="35" t="n">
        <f aca="false">LEN(C5)</f>
        <v>46</v>
      </c>
      <c r="E5" s="34" t="s">
        <v>127</v>
      </c>
      <c r="F5" s="36" t="n">
        <v>1290</v>
      </c>
      <c r="G5" s="34" t="s">
        <v>128</v>
      </c>
      <c r="H5" s="34" t="n">
        <v>12</v>
      </c>
      <c r="I5" s="34" t="s">
        <v>129</v>
      </c>
      <c r="J5" s="34" t="s">
        <v>130</v>
      </c>
      <c r="K5" s="34" t="s">
        <v>131</v>
      </c>
      <c r="L5" s="34" t="s">
        <v>132</v>
      </c>
      <c r="M5" s="34" t="s">
        <v>133</v>
      </c>
      <c r="N5" s="34" t="s">
        <v>134</v>
      </c>
      <c r="O5" s="34" t="s">
        <v>135</v>
      </c>
      <c r="P5" s="34" t="s">
        <v>136</v>
      </c>
    </row>
    <row r="6" customFormat="false" ht="30" hidden="false" customHeight="true" outlineLevel="0" collapsed="false">
      <c r="A6" s="20" t="s">
        <v>55</v>
      </c>
      <c r="B6" s="20" t="s">
        <v>137</v>
      </c>
      <c r="C6" s="20" t="s">
        <v>58</v>
      </c>
      <c r="D6" s="37" t="n">
        <f aca="false">LEN(C6)</f>
        <v>53</v>
      </c>
      <c r="E6" s="20" t="s">
        <v>57</v>
      </c>
      <c r="F6" s="38" t="n">
        <f aca="false">'Costos PI10196'!K6</f>
        <v>719</v>
      </c>
      <c r="G6" s="20" t="s">
        <v>128</v>
      </c>
      <c r="H6" s="21" t="n">
        <v>100</v>
      </c>
      <c r="I6" s="20" t="s">
        <v>129</v>
      </c>
      <c r="J6" s="20" t="s">
        <v>130</v>
      </c>
      <c r="K6" s="20" t="s">
        <v>131</v>
      </c>
      <c r="L6" s="39"/>
      <c r="M6" s="20" t="s">
        <v>133</v>
      </c>
      <c r="N6" s="20" t="s">
        <v>134</v>
      </c>
      <c r="O6" s="20" t="s">
        <v>135</v>
      </c>
      <c r="P6" s="20" t="s">
        <v>138</v>
      </c>
    </row>
    <row r="7" customFormat="false" ht="30" hidden="false" customHeight="true" outlineLevel="0" collapsed="false">
      <c r="A7" s="20" t="s">
        <v>55</v>
      </c>
      <c r="B7" s="20" t="s">
        <v>137</v>
      </c>
      <c r="C7" s="20" t="s">
        <v>54</v>
      </c>
      <c r="D7" s="37" t="n">
        <f aca="false">LEN(C7)</f>
        <v>55</v>
      </c>
      <c r="E7" s="20" t="s">
        <v>53</v>
      </c>
      <c r="F7" s="38" t="n">
        <f aca="false">'Costos PI10196'!K5</f>
        <v>719</v>
      </c>
      <c r="G7" s="20" t="s">
        <v>128</v>
      </c>
      <c r="H7" s="21" t="n">
        <v>100</v>
      </c>
      <c r="I7" s="20" t="s">
        <v>129</v>
      </c>
      <c r="J7" s="20" t="s">
        <v>130</v>
      </c>
      <c r="K7" s="20" t="s">
        <v>131</v>
      </c>
      <c r="L7" s="39"/>
      <c r="M7" s="20" t="s">
        <v>133</v>
      </c>
      <c r="N7" s="20" t="s">
        <v>134</v>
      </c>
      <c r="O7" s="20" t="s">
        <v>135</v>
      </c>
      <c r="P7" s="20" t="s">
        <v>139</v>
      </c>
    </row>
    <row r="8" customFormat="false" ht="30" hidden="false" customHeight="true" outlineLevel="0" collapsed="false">
      <c r="A8" s="20" t="s">
        <v>61</v>
      </c>
      <c r="B8" s="20" t="s">
        <v>140</v>
      </c>
      <c r="C8" s="20" t="s">
        <v>60</v>
      </c>
      <c r="D8" s="37" t="n">
        <f aca="false">LEN(C8)</f>
        <v>60</v>
      </c>
      <c r="E8" s="20" t="s">
        <v>59</v>
      </c>
      <c r="F8" s="38" t="n">
        <f aca="false">'Costos PI10196'!K7</f>
        <v>1059</v>
      </c>
      <c r="G8" s="20" t="s">
        <v>128</v>
      </c>
      <c r="H8" s="21" t="n">
        <v>10</v>
      </c>
      <c r="I8" s="20" t="s">
        <v>129</v>
      </c>
      <c r="J8" s="20" t="s">
        <v>130</v>
      </c>
      <c r="K8" s="20" t="s">
        <v>131</v>
      </c>
      <c r="L8" s="39"/>
      <c r="M8" s="20" t="s">
        <v>133</v>
      </c>
      <c r="N8" s="20" t="s">
        <v>134</v>
      </c>
      <c r="O8" s="20" t="s">
        <v>135</v>
      </c>
      <c r="P8" s="20" t="s">
        <v>141</v>
      </c>
    </row>
    <row r="9" customFormat="false" ht="30" hidden="false" customHeight="true" outlineLevel="0" collapsed="false">
      <c r="A9" s="20" t="s">
        <v>73</v>
      </c>
      <c r="B9" s="20" t="s">
        <v>140</v>
      </c>
      <c r="C9" s="20" t="s">
        <v>89</v>
      </c>
      <c r="D9" s="37" t="n">
        <f aca="false">LEN(C9)</f>
        <v>57</v>
      </c>
      <c r="E9" s="20" t="s">
        <v>88</v>
      </c>
      <c r="F9" s="38" t="n">
        <f aca="false">'Costos PI10196'!K19</f>
        <v>290</v>
      </c>
      <c r="G9" s="20" t="s">
        <v>128</v>
      </c>
      <c r="H9" s="21" t="n">
        <v>10</v>
      </c>
      <c r="I9" s="20" t="s">
        <v>129</v>
      </c>
      <c r="J9" s="20" t="s">
        <v>130</v>
      </c>
      <c r="K9" s="20" t="s">
        <v>131</v>
      </c>
      <c r="L9" s="39"/>
      <c r="M9" s="20" t="s">
        <v>133</v>
      </c>
      <c r="N9" s="20" t="s">
        <v>134</v>
      </c>
      <c r="O9" s="20" t="s">
        <v>135</v>
      </c>
      <c r="P9" s="20" t="s">
        <v>142</v>
      </c>
    </row>
    <row r="10" customFormat="false" ht="30" hidden="false" customHeight="true" outlineLevel="0" collapsed="false">
      <c r="A10" s="20" t="s">
        <v>73</v>
      </c>
      <c r="B10" s="20" t="s">
        <v>140</v>
      </c>
      <c r="C10" s="20" t="s">
        <v>93</v>
      </c>
      <c r="D10" s="37" t="n">
        <f aca="false">LEN(C10)</f>
        <v>53</v>
      </c>
      <c r="E10" s="20" t="s">
        <v>92</v>
      </c>
      <c r="F10" s="38" t="n">
        <f aca="false">'Costos PI10196'!K21</f>
        <v>290</v>
      </c>
      <c r="G10" s="20" t="s">
        <v>128</v>
      </c>
      <c r="H10" s="21" t="n">
        <v>10</v>
      </c>
      <c r="I10" s="20" t="s">
        <v>129</v>
      </c>
      <c r="J10" s="20" t="s">
        <v>130</v>
      </c>
      <c r="K10" s="20" t="s">
        <v>131</v>
      </c>
      <c r="L10" s="39"/>
      <c r="M10" s="20" t="s">
        <v>133</v>
      </c>
      <c r="N10" s="20" t="s">
        <v>134</v>
      </c>
      <c r="O10" s="20" t="s">
        <v>135</v>
      </c>
      <c r="P10" s="20" t="s">
        <v>143</v>
      </c>
    </row>
    <row r="11" customFormat="false" ht="30" hidden="false" customHeight="true" outlineLevel="0" collapsed="false">
      <c r="A11" s="20" t="s">
        <v>73</v>
      </c>
      <c r="B11" s="20" t="s">
        <v>140</v>
      </c>
      <c r="C11" s="20" t="s">
        <v>97</v>
      </c>
      <c r="D11" s="37" t="n">
        <f aca="false">LEN(C11)</f>
        <v>53</v>
      </c>
      <c r="E11" s="20" t="s">
        <v>96</v>
      </c>
      <c r="F11" s="38" t="n">
        <f aca="false">'Costos PI10196'!K23</f>
        <v>290</v>
      </c>
      <c r="G11" s="20" t="s">
        <v>128</v>
      </c>
      <c r="H11" s="21" t="n">
        <v>10</v>
      </c>
      <c r="I11" s="20" t="s">
        <v>129</v>
      </c>
      <c r="J11" s="20" t="s">
        <v>130</v>
      </c>
      <c r="K11" s="20" t="s">
        <v>131</v>
      </c>
      <c r="L11" s="39"/>
      <c r="M11" s="20" t="s">
        <v>133</v>
      </c>
      <c r="N11" s="20" t="s">
        <v>134</v>
      </c>
      <c r="O11" s="20" t="s">
        <v>135</v>
      </c>
      <c r="P11" s="20" t="s">
        <v>144</v>
      </c>
    </row>
    <row r="12" customFormat="false" ht="30" hidden="false" customHeight="true" outlineLevel="0" collapsed="false">
      <c r="A12" s="20" t="s">
        <v>73</v>
      </c>
      <c r="B12" s="20" t="s">
        <v>140</v>
      </c>
      <c r="C12" s="20" t="s">
        <v>99</v>
      </c>
      <c r="D12" s="37" t="n">
        <f aca="false">LEN(C12)</f>
        <v>57</v>
      </c>
      <c r="E12" s="20" t="s">
        <v>98</v>
      </c>
      <c r="F12" s="38" t="n">
        <f aca="false">'Costos PI10196'!K24</f>
        <v>290</v>
      </c>
      <c r="G12" s="20" t="s">
        <v>128</v>
      </c>
      <c r="H12" s="21" t="n">
        <v>10</v>
      </c>
      <c r="I12" s="20" t="s">
        <v>129</v>
      </c>
      <c r="J12" s="20" t="s">
        <v>130</v>
      </c>
      <c r="K12" s="20" t="s">
        <v>131</v>
      </c>
      <c r="L12" s="39"/>
      <c r="M12" s="20" t="s">
        <v>133</v>
      </c>
      <c r="N12" s="20" t="s">
        <v>134</v>
      </c>
      <c r="O12" s="20" t="s">
        <v>135</v>
      </c>
      <c r="P12" s="20" t="s">
        <v>145</v>
      </c>
    </row>
    <row r="13" customFormat="false" ht="30" hidden="false" customHeight="true" outlineLevel="0" collapsed="false">
      <c r="A13" s="20" t="s">
        <v>73</v>
      </c>
      <c r="B13" s="20" t="s">
        <v>140</v>
      </c>
      <c r="C13" s="20" t="s">
        <v>91</v>
      </c>
      <c r="D13" s="37" t="n">
        <f aca="false">LEN(C13)</f>
        <v>53</v>
      </c>
      <c r="E13" s="20" t="s">
        <v>90</v>
      </c>
      <c r="F13" s="38" t="n">
        <f aca="false">'Costos PI10196'!K20</f>
        <v>290</v>
      </c>
      <c r="G13" s="20" t="s">
        <v>128</v>
      </c>
      <c r="H13" s="21" t="n">
        <v>10</v>
      </c>
      <c r="I13" s="20" t="s">
        <v>129</v>
      </c>
      <c r="J13" s="20" t="s">
        <v>130</v>
      </c>
      <c r="K13" s="20" t="s">
        <v>131</v>
      </c>
      <c r="L13" s="39"/>
      <c r="M13" s="20" t="s">
        <v>133</v>
      </c>
      <c r="N13" s="20" t="s">
        <v>134</v>
      </c>
      <c r="O13" s="20" t="s">
        <v>135</v>
      </c>
      <c r="P13" s="20" t="s">
        <v>146</v>
      </c>
    </row>
    <row r="14" customFormat="false" ht="30" hidden="false" customHeight="true" outlineLevel="0" collapsed="false">
      <c r="A14" s="20" t="s">
        <v>73</v>
      </c>
      <c r="B14" s="20" t="s">
        <v>140</v>
      </c>
      <c r="C14" s="20" t="s">
        <v>95</v>
      </c>
      <c r="D14" s="37" t="n">
        <f aca="false">LEN(C14)</f>
        <v>56</v>
      </c>
      <c r="E14" s="20" t="s">
        <v>94</v>
      </c>
      <c r="F14" s="38" t="n">
        <f aca="false">'Costos PI10196'!K22</f>
        <v>290</v>
      </c>
      <c r="G14" s="20" t="s">
        <v>128</v>
      </c>
      <c r="H14" s="21" t="n">
        <v>10</v>
      </c>
      <c r="I14" s="20" t="s">
        <v>129</v>
      </c>
      <c r="J14" s="20" t="s">
        <v>130</v>
      </c>
      <c r="K14" s="20" t="s">
        <v>131</v>
      </c>
      <c r="L14" s="39"/>
      <c r="M14" s="20" t="s">
        <v>133</v>
      </c>
      <c r="N14" s="20" t="s">
        <v>134</v>
      </c>
      <c r="O14" s="20" t="s">
        <v>135</v>
      </c>
      <c r="P14" s="20" t="s">
        <v>147</v>
      </c>
    </row>
    <row r="15" customFormat="false" ht="30" hidden="false" customHeight="true" outlineLevel="0" collapsed="false">
      <c r="A15" s="20" t="s">
        <v>73</v>
      </c>
      <c r="B15" s="20" t="s">
        <v>140</v>
      </c>
      <c r="C15" s="20" t="s">
        <v>101</v>
      </c>
      <c r="D15" s="37" t="n">
        <f aca="false">LEN(C15)</f>
        <v>53</v>
      </c>
      <c r="E15" s="20" t="s">
        <v>100</v>
      </c>
      <c r="F15" s="38" t="n">
        <f aca="false">'Costos PI10196'!K25</f>
        <v>290</v>
      </c>
      <c r="G15" s="20" t="s">
        <v>128</v>
      </c>
      <c r="H15" s="21" t="n">
        <v>10</v>
      </c>
      <c r="I15" s="20" t="s">
        <v>129</v>
      </c>
      <c r="J15" s="20" t="s">
        <v>130</v>
      </c>
      <c r="K15" s="20" t="s">
        <v>131</v>
      </c>
      <c r="L15" s="39"/>
      <c r="M15" s="20" t="s">
        <v>133</v>
      </c>
      <c r="N15" s="20" t="s">
        <v>134</v>
      </c>
      <c r="O15" s="20" t="s">
        <v>135</v>
      </c>
      <c r="P15" s="20" t="s">
        <v>148</v>
      </c>
    </row>
    <row r="16" customFormat="false" ht="30" hidden="false" customHeight="true" outlineLevel="0" collapsed="false">
      <c r="A16" s="20" t="s">
        <v>73</v>
      </c>
      <c r="B16" s="20" t="s">
        <v>140</v>
      </c>
      <c r="C16" s="20" t="s">
        <v>103</v>
      </c>
      <c r="D16" s="37" t="n">
        <f aca="false">LEN(C16)</f>
        <v>55</v>
      </c>
      <c r="E16" s="20" t="s">
        <v>102</v>
      </c>
      <c r="F16" s="38" t="n">
        <f aca="false">'Costos PI10196'!K26</f>
        <v>290</v>
      </c>
      <c r="G16" s="20" t="s">
        <v>128</v>
      </c>
      <c r="H16" s="21" t="n">
        <v>10</v>
      </c>
      <c r="I16" s="20" t="s">
        <v>129</v>
      </c>
      <c r="J16" s="20" t="s">
        <v>130</v>
      </c>
      <c r="K16" s="20" t="s">
        <v>131</v>
      </c>
      <c r="L16" s="39"/>
      <c r="M16" s="20" t="s">
        <v>133</v>
      </c>
      <c r="N16" s="20" t="s">
        <v>134</v>
      </c>
      <c r="O16" s="20" t="s">
        <v>135</v>
      </c>
      <c r="P16" s="20" t="s">
        <v>149</v>
      </c>
    </row>
    <row r="17" customFormat="false" ht="30" hidden="false" customHeight="true" outlineLevel="0" collapsed="false">
      <c r="A17" s="20" t="s">
        <v>73</v>
      </c>
      <c r="B17" s="20" t="s">
        <v>140</v>
      </c>
      <c r="C17" s="20" t="s">
        <v>81</v>
      </c>
      <c r="D17" s="37" t="n">
        <f aca="false">LEN(C17)</f>
        <v>53</v>
      </c>
      <c r="E17" s="20" t="s">
        <v>80</v>
      </c>
      <c r="F17" s="38" t="n">
        <f aca="false">'Costos PI10196'!K15</f>
        <v>290</v>
      </c>
      <c r="G17" s="20" t="s">
        <v>128</v>
      </c>
      <c r="H17" s="21" t="n">
        <v>10</v>
      </c>
      <c r="I17" s="20" t="s">
        <v>129</v>
      </c>
      <c r="J17" s="20" t="s">
        <v>130</v>
      </c>
      <c r="K17" s="20" t="s">
        <v>131</v>
      </c>
      <c r="L17" s="39"/>
      <c r="M17" s="20" t="s">
        <v>133</v>
      </c>
      <c r="N17" s="20" t="s">
        <v>134</v>
      </c>
      <c r="O17" s="20" t="s">
        <v>135</v>
      </c>
      <c r="P17" s="20" t="s">
        <v>150</v>
      </c>
    </row>
    <row r="18" customFormat="false" ht="30" hidden="false" customHeight="true" outlineLevel="0" collapsed="false">
      <c r="A18" s="20" t="s">
        <v>73</v>
      </c>
      <c r="B18" s="20" t="s">
        <v>140</v>
      </c>
      <c r="C18" s="20" t="s">
        <v>85</v>
      </c>
      <c r="D18" s="37" t="n">
        <f aca="false">LEN(C18)</f>
        <v>57</v>
      </c>
      <c r="E18" s="20" t="s">
        <v>84</v>
      </c>
      <c r="F18" s="38" t="n">
        <f aca="false">'Costos PI10196'!K17</f>
        <v>290</v>
      </c>
      <c r="G18" s="20" t="s">
        <v>128</v>
      </c>
      <c r="H18" s="21" t="n">
        <v>10</v>
      </c>
      <c r="I18" s="20" t="s">
        <v>129</v>
      </c>
      <c r="J18" s="20" t="s">
        <v>130</v>
      </c>
      <c r="K18" s="20" t="s">
        <v>131</v>
      </c>
      <c r="L18" s="39"/>
      <c r="M18" s="20" t="s">
        <v>133</v>
      </c>
      <c r="N18" s="20" t="s">
        <v>134</v>
      </c>
      <c r="O18" s="20" t="s">
        <v>135</v>
      </c>
      <c r="P18" s="20" t="s">
        <v>151</v>
      </c>
    </row>
    <row r="19" customFormat="false" ht="30" hidden="false" customHeight="true" outlineLevel="0" collapsed="false">
      <c r="A19" s="20" t="s">
        <v>73</v>
      </c>
      <c r="B19" s="20" t="s">
        <v>140</v>
      </c>
      <c r="C19" s="20" t="s">
        <v>72</v>
      </c>
      <c r="D19" s="37" t="n">
        <f aca="false">LEN(C19)</f>
        <v>56</v>
      </c>
      <c r="E19" s="20" t="s">
        <v>71</v>
      </c>
      <c r="F19" s="38" t="n">
        <f aca="false">'Costos PI10196'!K11</f>
        <v>290</v>
      </c>
      <c r="G19" s="20" t="s">
        <v>128</v>
      </c>
      <c r="H19" s="21" t="n">
        <v>10</v>
      </c>
      <c r="I19" s="20" t="s">
        <v>129</v>
      </c>
      <c r="J19" s="20" t="s">
        <v>130</v>
      </c>
      <c r="K19" s="20" t="s">
        <v>131</v>
      </c>
      <c r="L19" s="39"/>
      <c r="M19" s="20" t="s">
        <v>133</v>
      </c>
      <c r="N19" s="20" t="s">
        <v>134</v>
      </c>
      <c r="O19" s="20" t="s">
        <v>135</v>
      </c>
      <c r="P19" s="20" t="s">
        <v>152</v>
      </c>
    </row>
    <row r="20" customFormat="false" ht="30" hidden="false" customHeight="true" outlineLevel="0" collapsed="false">
      <c r="A20" s="20" t="s">
        <v>73</v>
      </c>
      <c r="B20" s="20" t="s">
        <v>140</v>
      </c>
      <c r="C20" s="20" t="s">
        <v>75</v>
      </c>
      <c r="D20" s="37" t="n">
        <f aca="false">LEN(C20)</f>
        <v>52</v>
      </c>
      <c r="E20" s="20" t="s">
        <v>74</v>
      </c>
      <c r="F20" s="38" t="n">
        <f aca="false">'Costos PI10196'!K12</f>
        <v>290</v>
      </c>
      <c r="G20" s="20" t="s">
        <v>128</v>
      </c>
      <c r="H20" s="21" t="n">
        <v>10</v>
      </c>
      <c r="I20" s="20" t="s">
        <v>129</v>
      </c>
      <c r="J20" s="20" t="s">
        <v>130</v>
      </c>
      <c r="K20" s="20" t="s">
        <v>131</v>
      </c>
      <c r="L20" s="39"/>
      <c r="M20" s="20" t="s">
        <v>133</v>
      </c>
      <c r="N20" s="20" t="s">
        <v>134</v>
      </c>
      <c r="O20" s="20" t="s">
        <v>135</v>
      </c>
      <c r="P20" s="20" t="s">
        <v>153</v>
      </c>
    </row>
    <row r="21" customFormat="false" ht="30" hidden="false" customHeight="true" outlineLevel="0" collapsed="false">
      <c r="A21" s="20" t="s">
        <v>73</v>
      </c>
      <c r="B21" s="20" t="s">
        <v>140</v>
      </c>
      <c r="C21" s="20" t="s">
        <v>83</v>
      </c>
      <c r="D21" s="37" t="n">
        <f aca="false">LEN(C21)</f>
        <v>53</v>
      </c>
      <c r="E21" s="20" t="s">
        <v>82</v>
      </c>
      <c r="F21" s="38" t="n">
        <f aca="false">'Costos PI10196'!K16</f>
        <v>290</v>
      </c>
      <c r="G21" s="20" t="s">
        <v>128</v>
      </c>
      <c r="H21" s="21" t="n">
        <v>10</v>
      </c>
      <c r="I21" s="20" t="s">
        <v>129</v>
      </c>
      <c r="J21" s="20" t="s">
        <v>130</v>
      </c>
      <c r="K21" s="20" t="s">
        <v>131</v>
      </c>
      <c r="L21" s="39"/>
      <c r="M21" s="20" t="s">
        <v>133</v>
      </c>
      <c r="N21" s="20" t="s">
        <v>134</v>
      </c>
      <c r="O21" s="20" t="s">
        <v>135</v>
      </c>
      <c r="P21" s="20" t="s">
        <v>154</v>
      </c>
    </row>
    <row r="22" customFormat="false" ht="30" hidden="false" customHeight="true" outlineLevel="0" collapsed="false">
      <c r="A22" s="20" t="s">
        <v>73</v>
      </c>
      <c r="B22" s="20" t="s">
        <v>140</v>
      </c>
      <c r="C22" s="20" t="s">
        <v>87</v>
      </c>
      <c r="D22" s="37" t="n">
        <f aca="false">LEN(C22)</f>
        <v>55</v>
      </c>
      <c r="E22" s="20" t="s">
        <v>86</v>
      </c>
      <c r="F22" s="38" t="n">
        <f aca="false">'Costos PI10196'!K18</f>
        <v>290</v>
      </c>
      <c r="G22" s="20" t="s">
        <v>128</v>
      </c>
      <c r="H22" s="21" t="n">
        <v>10</v>
      </c>
      <c r="I22" s="20" t="s">
        <v>129</v>
      </c>
      <c r="J22" s="20" t="s">
        <v>130</v>
      </c>
      <c r="K22" s="20" t="s">
        <v>131</v>
      </c>
      <c r="L22" s="39"/>
      <c r="M22" s="20" t="s">
        <v>133</v>
      </c>
      <c r="N22" s="20" t="s">
        <v>134</v>
      </c>
      <c r="O22" s="20" t="s">
        <v>135</v>
      </c>
      <c r="P22" s="20" t="s">
        <v>155</v>
      </c>
    </row>
    <row r="23" customFormat="false" ht="30" hidden="false" customHeight="true" outlineLevel="0" collapsed="false">
      <c r="A23" s="20" t="s">
        <v>73</v>
      </c>
      <c r="B23" s="20" t="s">
        <v>140</v>
      </c>
      <c r="C23" s="20" t="s">
        <v>77</v>
      </c>
      <c r="D23" s="37" t="n">
        <f aca="false">LEN(C23)</f>
        <v>52</v>
      </c>
      <c r="E23" s="20" t="s">
        <v>76</v>
      </c>
      <c r="F23" s="38" t="n">
        <f aca="false">'Costos PI10196'!K13</f>
        <v>290</v>
      </c>
      <c r="G23" s="20" t="s">
        <v>128</v>
      </c>
      <c r="H23" s="21" t="n">
        <v>10</v>
      </c>
      <c r="I23" s="20" t="s">
        <v>129</v>
      </c>
      <c r="J23" s="20" t="s">
        <v>130</v>
      </c>
      <c r="K23" s="20" t="s">
        <v>131</v>
      </c>
      <c r="L23" s="39"/>
      <c r="M23" s="20" t="s">
        <v>133</v>
      </c>
      <c r="N23" s="20" t="s">
        <v>134</v>
      </c>
      <c r="O23" s="20" t="s">
        <v>135</v>
      </c>
      <c r="P23" s="20" t="s">
        <v>156</v>
      </c>
    </row>
    <row r="24" customFormat="false" ht="30" hidden="false" customHeight="true" outlineLevel="0" collapsed="false">
      <c r="A24" s="20" t="s">
        <v>73</v>
      </c>
      <c r="B24" s="20" t="s">
        <v>140</v>
      </c>
      <c r="C24" s="20" t="s">
        <v>79</v>
      </c>
      <c r="D24" s="37" t="n">
        <f aca="false">LEN(C24)</f>
        <v>55</v>
      </c>
      <c r="E24" s="20" t="s">
        <v>78</v>
      </c>
      <c r="F24" s="38" t="n">
        <f aca="false">'Costos PI10196'!K14</f>
        <v>290</v>
      </c>
      <c r="G24" s="20" t="s">
        <v>128</v>
      </c>
      <c r="H24" s="21" t="n">
        <v>10</v>
      </c>
      <c r="I24" s="20" t="s">
        <v>129</v>
      </c>
      <c r="J24" s="20" t="s">
        <v>130</v>
      </c>
      <c r="K24" s="20" t="s">
        <v>131</v>
      </c>
      <c r="L24" s="39"/>
      <c r="M24" s="20" t="s">
        <v>133</v>
      </c>
      <c r="N24" s="20" t="s">
        <v>134</v>
      </c>
      <c r="O24" s="20" t="s">
        <v>135</v>
      </c>
      <c r="P24" s="20" t="s">
        <v>157</v>
      </c>
    </row>
    <row r="25" customFormat="false" ht="30" hidden="false" customHeight="true" outlineLevel="0" collapsed="false">
      <c r="A25" s="20" t="s">
        <v>65</v>
      </c>
      <c r="B25" s="20" t="s">
        <v>158</v>
      </c>
      <c r="C25" s="20" t="s">
        <v>64</v>
      </c>
      <c r="D25" s="37" t="n">
        <f aca="false">LEN(C25)</f>
        <v>58</v>
      </c>
      <c r="E25" s="20" t="s">
        <v>63</v>
      </c>
      <c r="F25" s="38" t="n">
        <f aca="false">'Costos PI10196'!K8</f>
        <v>597</v>
      </c>
      <c r="G25" s="20" t="s">
        <v>128</v>
      </c>
      <c r="H25" s="21" t="n">
        <v>5</v>
      </c>
      <c r="I25" s="20" t="s">
        <v>129</v>
      </c>
      <c r="J25" s="20" t="s">
        <v>130</v>
      </c>
      <c r="K25" s="20" t="s">
        <v>131</v>
      </c>
      <c r="L25" s="39"/>
      <c r="M25" s="20" t="s">
        <v>133</v>
      </c>
      <c r="N25" s="20" t="s">
        <v>134</v>
      </c>
      <c r="O25" s="20" t="s">
        <v>135</v>
      </c>
      <c r="P25" s="20" t="s">
        <v>159</v>
      </c>
    </row>
    <row r="26" customFormat="false" ht="30" hidden="false" customHeight="true" outlineLevel="0" collapsed="false">
      <c r="A26" s="20" t="s">
        <v>65</v>
      </c>
      <c r="B26" s="20" t="s">
        <v>158</v>
      </c>
      <c r="C26" s="20" t="s">
        <v>160</v>
      </c>
      <c r="D26" s="37" t="n">
        <f aca="false">LEN(C26)</f>
        <v>46</v>
      </c>
      <c r="E26" s="20" t="s">
        <v>67</v>
      </c>
      <c r="F26" s="38" t="n">
        <f aca="false">'Costos PI10196'!K9</f>
        <v>597</v>
      </c>
      <c r="G26" s="20" t="s">
        <v>128</v>
      </c>
      <c r="H26" s="21" t="n">
        <v>5</v>
      </c>
      <c r="I26" s="20" t="s">
        <v>129</v>
      </c>
      <c r="J26" s="20" t="s">
        <v>130</v>
      </c>
      <c r="K26" s="20" t="s">
        <v>131</v>
      </c>
      <c r="L26" s="39"/>
      <c r="M26" s="20" t="s">
        <v>133</v>
      </c>
      <c r="N26" s="20" t="s">
        <v>134</v>
      </c>
      <c r="O26" s="20" t="s">
        <v>135</v>
      </c>
      <c r="P26" s="20" t="s">
        <v>161</v>
      </c>
    </row>
    <row r="27" customFormat="false" ht="30" hidden="false" customHeight="true" outlineLevel="0" collapsed="false">
      <c r="A27" s="20" t="s">
        <v>65</v>
      </c>
      <c r="B27" s="20" t="s">
        <v>158</v>
      </c>
      <c r="C27" s="20" t="s">
        <v>162</v>
      </c>
      <c r="D27" s="37" t="n">
        <f aca="false">LEN(C27)</f>
        <v>52</v>
      </c>
      <c r="E27" s="20" t="s">
        <v>69</v>
      </c>
      <c r="F27" s="38" t="n">
        <f aca="false">'Costos PI10196'!K10</f>
        <v>664</v>
      </c>
      <c r="G27" s="20" t="s">
        <v>128</v>
      </c>
      <c r="H27" s="21" t="n">
        <v>5</v>
      </c>
      <c r="I27" s="20" t="s">
        <v>129</v>
      </c>
      <c r="J27" s="20" t="s">
        <v>130</v>
      </c>
      <c r="K27" s="20" t="s">
        <v>131</v>
      </c>
      <c r="L27" s="39"/>
      <c r="M27" s="20" t="s">
        <v>133</v>
      </c>
      <c r="N27" s="20" t="s">
        <v>134</v>
      </c>
      <c r="O27" s="20" t="s">
        <v>135</v>
      </c>
      <c r="P27" s="20" t="s">
        <v>163</v>
      </c>
    </row>
    <row r="29" customFormat="false" ht="15" hidden="false" customHeight="false" outlineLevel="0" collapsed="false">
      <c r="A29" s="17" t="s">
        <v>164</v>
      </c>
    </row>
    <row r="30" customFormat="false" ht="15" hidden="false" customHeight="false" outlineLevel="0" collapsed="false">
      <c r="A30" s="17" t="s">
        <v>165</v>
      </c>
    </row>
    <row r="31" customFormat="false" ht="15" hidden="false" customHeight="false" outlineLevel="0" collapsed="false">
      <c r="A31" s="17" t="s">
        <v>166</v>
      </c>
    </row>
  </sheetData>
  <conditionalFormatting sqref="D5:D27">
    <cfRule type="cellIs" priority="2" operator="greaterThan" aboveAverage="0" equalAverage="0" bottom="0" percent="0" rank="0" text="" dxfId="0">
      <formula>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2026-09-12T15:39:05Z</dcterms:created>
  <dc:creator>openpyxl</dc:creator>
  <dc:description/>
  <dc:language>en-US</dc:language>
  <cp:lastModifiedBy/>
  <dcterms:modified xsi:type="dcterms:W3CDTF">2026-09-12T15:39:05Z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